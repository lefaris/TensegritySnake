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ull_inchworm" sheetId="1" state="visible" r:id="rId2"/>
    <sheet name="Hybrid_inchworm" sheetId="2" state="visible" r:id="rId3"/>
    <sheet name="Hybrid_missing" sheetId="3" state="visible" r:id="rId4"/>
    <sheet name="C" sheetId="4" state="visible" r:id="rId5"/>
    <sheet name="Undulation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<sst xmlns="http://schemas.openxmlformats.org/spreadsheetml/2006/main" count="191" uniqueCount="58">
  <si>
    <t xml:space="preserve">FULL INCHWORM SEQUENCE</t>
  </si>
  <si>
    <t xml:space="preserve">Start frame</t>
  </si>
  <si>
    <t xml:space="preserve">End frame</t>
  </si>
  <si>
    <t xml:space="preserve">Num frames</t>
  </si>
  <si>
    <t xml:space="preserve">End1 Translation (mm)</t>
  </si>
  <si>
    <t xml:space="preserve">End1 Euclidean norm (mm)</t>
  </si>
  <si>
    <t xml:space="preserve">End1 Translation (BL/s)</t>
  </si>
  <si>
    <t xml:space="preserve">End2 Translation (mm)</t>
  </si>
  <si>
    <t xml:space="preserve">End2 Euclidean norm (mm)</t>
  </si>
  <si>
    <t xml:space="preserve">End2 Translation (BL/s)</t>
  </si>
  <si>
    <t xml:space="preserve">End1 Angle</t>
  </si>
  <si>
    <t xml:space="preserve">End1 Euler angles</t>
  </si>
  <si>
    <t xml:space="preserve">End2 Angle</t>
  </si>
  <si>
    <t xml:space="preserve">End2 Euler angles</t>
  </si>
  <si>
    <t xml:space="preserve">Cycle</t>
  </si>
  <si>
    <t xml:space="preserve">Gait</t>
  </si>
  <si>
    <t xml:space="preserve">[-199.21, -106.48, -151.91]</t>
  </si>
  <si>
    <t xml:space="preserve">[13.83, -11.80, -70.41]</t>
  </si>
  <si>
    <t xml:space="preserve">[4.27, -13.34, -12.64]</t>
  </si>
  <si>
    <t xml:space="preserve">[-10.00, 10.39, -26.09]</t>
  </si>
  <si>
    <t xml:space="preserve">[142.42, 63.08, 41.37]</t>
  </si>
  <si>
    <t xml:space="preserve">[-70.95, -49.86, 101.06]</t>
  </si>
  <si>
    <t xml:space="preserve">[-2.33, 15.46, 11.54]</t>
  </si>
  <si>
    <t xml:space="preserve">[27.43, -26.41, 18.98]</t>
  </si>
  <si>
    <t xml:space="preserve">[-292.50, -158.80, -42.55]</t>
  </si>
  <si>
    <t xml:space="preserve">[55.97, -54.95, -134.06]</t>
  </si>
  <si>
    <t xml:space="preserve">[10.18, -2.33, -18.23]</t>
  </si>
  <si>
    <t xml:space="preserve">[-11.85, 9.68, -41.14]</t>
  </si>
  <si>
    <t xml:space="preserve">[234.28, 63.94, -17.46]</t>
  </si>
  <si>
    <t xml:space="preserve">[-61.80, -58.51, 92.88]</t>
  </si>
  <si>
    <t xml:space="preserve">[-10.30, 8.89, 14.88]</t>
  </si>
  <si>
    <t xml:space="preserve">[4.73, -15.19, 30.34]</t>
  </si>
  <si>
    <t xml:space="preserve">[-189.60, -51.97, -21.11]</t>
  </si>
  <si>
    <t xml:space="preserve">[48.50, -46.28, -193.86]</t>
  </si>
  <si>
    <t xml:space="preserve">[3.85, -2.91, -9.10]</t>
  </si>
  <si>
    <t xml:space="preserve">[3.55, 15.58, -30.50]</t>
  </si>
  <si>
    <t xml:space="preserve">[153.41, 57.57, -0.34]</t>
  </si>
  <si>
    <t xml:space="preserve">N/A</t>
  </si>
  <si>
    <t xml:space="preserve">[-3.08, 5.28, 16.42]</t>
  </si>
  <si>
    <t xml:space="preserve">Max end1 translation per gait (BL/s)</t>
  </si>
  <si>
    <t xml:space="preserve">Max end1 angle</t>
  </si>
  <si>
    <t xml:space="preserve">Min end1 translation per gait (BL/s)</t>
  </si>
  <si>
    <t xml:space="preserve">Min end1 angle</t>
  </si>
  <si>
    <t xml:space="preserve">Average end1 translation per gait (BL/s)</t>
  </si>
  <si>
    <t xml:space="preserve">Average end1 angle</t>
  </si>
  <si>
    <t xml:space="preserve">Average end1 translation per gait (mm)</t>
  </si>
  <si>
    <t xml:space="preserve">Max end2 translation per gait (BL/s)</t>
  </si>
  <si>
    <t xml:space="preserve">Max end2 angle</t>
  </si>
  <si>
    <t xml:space="preserve">Min end2 translation per gait (BL/s)</t>
  </si>
  <si>
    <t xml:space="preserve">Min end2 angle</t>
  </si>
  <si>
    <t xml:space="preserve">Average end2 translation per gait (BL/s)</t>
  </si>
  <si>
    <t xml:space="preserve">Average end2 angle</t>
  </si>
  <si>
    <t xml:space="preserve">HYBRID INCHWORM SEQUENCE</t>
  </si>
  <si>
    <t xml:space="preserve">Average end2 translation per gait (mm)</t>
  </si>
  <si>
    <t xml:space="preserve">HYBRID INCHWORM MISSING TENDONS 3 and 6 SEQUENCE</t>
  </si>
  <si>
    <t xml:space="preserve">C SEQUENCE</t>
  </si>
  <si>
    <t xml:space="preserve">LATERAL UNDULATION SEQUENCE</t>
  </si>
  <si>
    <t xml:space="preserve">*Note: there was very poor movement of end1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</si>
</sst>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1.43"/>
    <col collapsed="false" customWidth="true" hidden="false" outlineLevel="0" max="3" min="3" style="0" width="11.14"/>
    <col collapsed="false" customWidth="true" hidden="false" outlineLevel="0" max="4" min="4" style="0" width="12.14"/>
    <col collapsed="false" customWidth="true" hidden="false" outlineLevel="0" max="5" min="5" style="0" width="23.85"/>
    <col collapsed="false" customWidth="true" hidden="false" outlineLevel="0" max="6" min="6" style="0" width="24.85"/>
    <col collapsed="false" customWidth="true" hidden="false" outlineLevel="0" max="7" min="7" style="0" width="21.57"/>
    <col collapsed="false" customWidth="true" hidden="false" outlineLevel="0" max="8" min="8" style="0" width="21"/>
    <col collapsed="false" customWidth="true" hidden="false" outlineLevel="0" max="9" min="9" style="0" width="25.28"/>
    <col collapsed="false" customWidth="true" hidden="false" outlineLevel="0" max="10" min="10" style="0" width="21.57"/>
    <col collapsed="false" customWidth="true" hidden="false" outlineLevel="0" max="11" min="11" style="0" width="10.85"/>
    <col collapsed="false" customWidth="true" hidden="false" outlineLevel="0" max="12" min="12" style="0" width="18.57"/>
    <col collapsed="false" customWidth="true" hidden="false" outlineLevel="0" max="13" min="13" style="0" width="10.43"/>
    <col collapsed="false" customWidth="true" hidden="false" outlineLevel="0" max="14" min="14" style="0" width="19.14"/>
    <col collapsed="false" customWidth="true" hidden="false" outlineLevel="0" max="15" min="15" style="0" width="5.71"/>
    <col collapsed="false" customWidth="true" hidden="false" outlineLevel="0" max="16" min="16" style="0" width="4.71"/>
  </cols>
  <sheetData>
    <row r="2" customFormat="false" ht="15" hidden="false" customHeight="false" outlineLevel="0" collapsed="false">
      <c r="B2" s="0" t="s">
        <v>0</v>
      </c>
    </row>
    <row r="4" customFormat="false" ht="15" hidden="false" customHeight="false" outlineLevel="0" collapsed="false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</row>
    <row r="5" customFormat="false" ht="15" hidden="false" customHeight="false" outlineLevel="0" collapsed="false">
      <c r="B5" s="1" t="n">
        <v>1</v>
      </c>
      <c r="C5" s="1" t="n">
        <v>145</v>
      </c>
      <c r="D5" s="1" t="n">
        <f aca="false">C5-B5</f>
        <v>144</v>
      </c>
      <c r="E5" s="1" t="s">
        <v>16</v>
      </c>
      <c r="F5" s="1" t="n">
        <v>272.2118</v>
      </c>
      <c r="G5" s="1" t="n">
        <f aca="false">(F5/(D5/30))/1000</f>
        <v>0.0567107916666667</v>
      </c>
      <c r="H5" s="1" t="s">
        <v>17</v>
      </c>
      <c r="I5" s="1" t="n">
        <v>72.7192</v>
      </c>
      <c r="J5" s="1" t="n">
        <f aca="false">(I5/(D5/30))/1000</f>
        <v>0.0151498333333333</v>
      </c>
      <c r="K5" s="1" t="n">
        <v>18.51</v>
      </c>
      <c r="L5" s="1" t="s">
        <v>18</v>
      </c>
      <c r="M5" s="1" t="n">
        <v>28.94</v>
      </c>
      <c r="N5" s="1" t="s">
        <v>19</v>
      </c>
      <c r="O5" s="1" t="n">
        <v>1</v>
      </c>
      <c r="P5" s="1" t="n">
        <v>1</v>
      </c>
    </row>
    <row r="6" customFormat="false" ht="15" hidden="false" customHeight="false" outlineLevel="0" collapsed="false">
      <c r="B6" s="1" t="n">
        <v>165</v>
      </c>
      <c r="C6" s="1" t="n">
        <v>300</v>
      </c>
      <c r="D6" s="1" t="n">
        <f aca="false">C6-B6</f>
        <v>135</v>
      </c>
      <c r="E6" s="1" t="s">
        <v>20</v>
      </c>
      <c r="F6" s="1" t="n">
        <v>161.1646</v>
      </c>
      <c r="G6" s="1" t="n">
        <f aca="false">(F6/(D6/30))/1000</f>
        <v>0.0358143555555556</v>
      </c>
      <c r="H6" s="1" t="s">
        <v>21</v>
      </c>
      <c r="I6" s="1" t="n">
        <v>133.1655</v>
      </c>
      <c r="J6" s="1" t="n">
        <f aca="false">(I6/(D6/30))/1000</f>
        <v>0.0295923333333333</v>
      </c>
      <c r="K6" s="1" t="n">
        <v>19.6</v>
      </c>
      <c r="L6" s="1" t="s">
        <v>22</v>
      </c>
      <c r="M6" s="1" t="n">
        <v>44.98</v>
      </c>
      <c r="N6" s="1" t="s">
        <v>23</v>
      </c>
      <c r="O6" s="1" t="n">
        <v>2</v>
      </c>
      <c r="P6" s="1" t="n">
        <v>1</v>
      </c>
    </row>
    <row r="7" customFormat="false" ht="15" hidden="false" customHeight="false" outlineLevel="0" collapsed="false">
      <c r="B7" s="1" t="n">
        <v>315</v>
      </c>
      <c r="C7" s="1" t="n">
        <v>590</v>
      </c>
      <c r="D7" s="1" t="n">
        <f aca="false">C7-B7</f>
        <v>275</v>
      </c>
      <c r="E7" s="1" t="s">
        <v>24</v>
      </c>
      <c r="F7" s="1" t="n">
        <v>335.5357</v>
      </c>
      <c r="G7" s="1" t="n">
        <f aca="false">(F7/(D7/30))/1000</f>
        <v>0.0366038945454546</v>
      </c>
      <c r="H7" s="1" t="s">
        <v>25</v>
      </c>
      <c r="I7" s="1" t="n">
        <v>155.3198</v>
      </c>
      <c r="J7" s="1" t="n">
        <f aca="false">(I7/(D7/30))/1000</f>
        <v>0.0169439781818182</v>
      </c>
      <c r="K7" s="1" t="n">
        <v>20.8</v>
      </c>
      <c r="L7" s="1" t="s">
        <v>26</v>
      </c>
      <c r="M7" s="1" t="n">
        <v>42.83</v>
      </c>
      <c r="N7" s="1" t="s">
        <v>27</v>
      </c>
      <c r="O7" s="1" t="n">
        <v>1</v>
      </c>
      <c r="P7" s="1" t="n">
        <v>2</v>
      </c>
    </row>
    <row r="8" customFormat="false" ht="15" hidden="false" customHeight="false" outlineLevel="0" collapsed="false">
      <c r="B8" s="1" t="n">
        <v>680</v>
      </c>
      <c r="C8" s="1" t="n">
        <v>900</v>
      </c>
      <c r="D8" s="1" t="n">
        <f aca="false">C8-B8</f>
        <v>220</v>
      </c>
      <c r="E8" s="1" t="s">
        <v>28</v>
      </c>
      <c r="F8" s="1" t="n">
        <v>243.4754</v>
      </c>
      <c r="G8" s="1" t="n">
        <f aca="false">(F8/(D8/30))/1000</f>
        <v>0.0332011909090909</v>
      </c>
      <c r="H8" s="1" t="s">
        <v>29</v>
      </c>
      <c r="I8" s="1" t="n">
        <v>125.9736</v>
      </c>
      <c r="J8" s="1" t="n">
        <f aca="false">(I8/(D8/30))/1000</f>
        <v>0.0171782181818182</v>
      </c>
      <c r="K8" s="1" t="n">
        <v>20.71</v>
      </c>
      <c r="L8" s="1" t="s">
        <v>30</v>
      </c>
      <c r="M8" s="1" t="n">
        <v>34.73</v>
      </c>
      <c r="N8" s="1" t="s">
        <v>31</v>
      </c>
      <c r="O8" s="1" t="n">
        <v>2</v>
      </c>
      <c r="P8" s="1" t="n">
        <v>2</v>
      </c>
    </row>
    <row r="9" customFormat="false" ht="15" hidden="false" customHeight="false" outlineLevel="0" collapsed="false">
      <c r="B9" s="1" t="n">
        <v>950</v>
      </c>
      <c r="C9" s="1" t="n">
        <v>1220</v>
      </c>
      <c r="D9" s="1" t="n">
        <f aca="false">C9-B9</f>
        <v>270</v>
      </c>
      <c r="E9" s="1" t="s">
        <v>32</v>
      </c>
      <c r="F9" s="1" t="n">
        <v>197.7237</v>
      </c>
      <c r="G9" s="1" t="n">
        <f aca="false">(F9/(D9/30))/1000</f>
        <v>0.0219693</v>
      </c>
      <c r="H9" s="1" t="s">
        <v>33</v>
      </c>
      <c r="I9" s="1" t="n">
        <v>205.1238</v>
      </c>
      <c r="J9" s="1" t="n">
        <f aca="false">(I9/(D9/30))/1000</f>
        <v>0.0227915333333333</v>
      </c>
      <c r="K9" s="1" t="n">
        <v>10.21</v>
      </c>
      <c r="L9" s="1" t="s">
        <v>34</v>
      </c>
      <c r="M9" s="1" t="n">
        <v>34.77</v>
      </c>
      <c r="N9" s="1" t="s">
        <v>35</v>
      </c>
      <c r="O9" s="1" t="n">
        <v>1</v>
      </c>
      <c r="P9" s="1" t="n">
        <v>3</v>
      </c>
    </row>
    <row r="10" customFormat="false" ht="15" hidden="false" customHeight="false" outlineLevel="0" collapsed="false">
      <c r="B10" s="1" t="n">
        <v>1235</v>
      </c>
      <c r="C10" s="1" t="n">
        <v>1500</v>
      </c>
      <c r="D10" s="1" t="n">
        <f aca="false">C10-B10</f>
        <v>265</v>
      </c>
      <c r="E10" s="1" t="s">
        <v>36</v>
      </c>
      <c r="F10" s="1" t="n">
        <v>163.8568</v>
      </c>
      <c r="G10" s="1" t="n">
        <f aca="false">(F10/(D10/30))/1000</f>
        <v>0.0185498264150943</v>
      </c>
      <c r="H10" s="1" t="s">
        <v>37</v>
      </c>
      <c r="I10" s="1" t="s">
        <v>37</v>
      </c>
      <c r="J10" s="1" t="s">
        <v>37</v>
      </c>
      <c r="K10" s="1" t="n">
        <v>17.64</v>
      </c>
      <c r="L10" s="1" t="s">
        <v>38</v>
      </c>
      <c r="M10" s="1" t="s">
        <v>37</v>
      </c>
      <c r="N10" s="1" t="s">
        <v>37</v>
      </c>
      <c r="O10" s="1" t="n">
        <v>2</v>
      </c>
      <c r="P10" s="1" t="n">
        <v>3</v>
      </c>
    </row>
    <row r="12" customFormat="false" ht="15" hidden="false" customHeight="false" outlineLevel="0" collapsed="false">
      <c r="B12" s="2" t="s">
        <v>39</v>
      </c>
      <c r="C12" s="2"/>
      <c r="D12" s="2"/>
      <c r="E12" s="3" t="n">
        <f aca="false">MAX(G5:G10)</f>
        <v>0.0567107916666667</v>
      </c>
      <c r="G12" s="3" t="s">
        <v>40</v>
      </c>
      <c r="H12" s="3" t="n">
        <f aca="false">MAX(K5:K10)</f>
        <v>20.8</v>
      </c>
    </row>
    <row r="13" customFormat="false" ht="15" hidden="false" customHeight="false" outlineLevel="0" collapsed="false">
      <c r="B13" s="2" t="s">
        <v>41</v>
      </c>
      <c r="C13" s="2"/>
      <c r="D13" s="2"/>
      <c r="E13" s="3" t="n">
        <f aca="false">MIN(G5:G10)</f>
        <v>0.0185498264150943</v>
      </c>
      <c r="G13" s="3" t="s">
        <v>42</v>
      </c>
      <c r="H13" s="3" t="n">
        <f aca="false">MIN(K5:K10)</f>
        <v>10.21</v>
      </c>
    </row>
    <row r="14" customFormat="false" ht="15" hidden="false" customHeight="false" outlineLevel="0" collapsed="false">
      <c r="B14" s="2" t="s">
        <v>43</v>
      </c>
      <c r="C14" s="2"/>
      <c r="D14" s="2"/>
      <c r="E14" s="3" t="n">
        <f aca="false">AVERAGE(G5:G10)</f>
        <v>0.0338082265153103</v>
      </c>
      <c r="G14" s="3" t="s">
        <v>44</v>
      </c>
      <c r="H14" s="3" t="n">
        <f aca="false">AVERAGE(K5:K10)</f>
        <v>17.9116666666667</v>
      </c>
    </row>
    <row r="15" customFormat="false" ht="15" hidden="false" customHeight="false" outlineLevel="0" collapsed="false">
      <c r="B15" s="2" t="s">
        <v>45</v>
      </c>
      <c r="C15" s="2"/>
      <c r="D15" s="2"/>
      <c r="E15" s="3" t="n">
        <f aca="false">AVERAGE(F5:F10)</f>
        <v>228.994666666667</v>
      </c>
    </row>
    <row r="16" customFormat="false" ht="15" hidden="false" customHeight="false" outlineLevel="0" collapsed="false">
      <c r="B16" s="4"/>
      <c r="C16" s="4"/>
      <c r="D16" s="4"/>
    </row>
    <row r="17" customFormat="false" ht="15" hidden="false" customHeight="false" outlineLevel="0" collapsed="false">
      <c r="B17" s="2" t="s">
        <v>46</v>
      </c>
      <c r="C17" s="2"/>
      <c r="D17" s="2"/>
      <c r="E17" s="3" t="n">
        <f aca="false">MAX(J5:J10)</f>
        <v>0.0295923333333333</v>
      </c>
      <c r="G17" s="3" t="s">
        <v>47</v>
      </c>
      <c r="H17" s="3" t="n">
        <f aca="false">MAX(M5:M9)</f>
        <v>44.98</v>
      </c>
    </row>
    <row r="18" customFormat="false" ht="15" hidden="false" customHeight="false" outlineLevel="0" collapsed="false">
      <c r="B18" s="2" t="s">
        <v>48</v>
      </c>
      <c r="C18" s="2"/>
      <c r="D18" s="2"/>
      <c r="E18" s="3" t="n">
        <f aca="false">MIN(J5:J9)</f>
        <v>0.0151498333333333</v>
      </c>
      <c r="G18" s="3" t="s">
        <v>49</v>
      </c>
      <c r="H18" s="3" t="n">
        <f aca="false">MIN(M5:M9)</f>
        <v>28.94</v>
      </c>
    </row>
    <row r="19" customFormat="false" ht="15" hidden="false" customHeight="false" outlineLevel="0" collapsed="false">
      <c r="B19" s="2" t="s">
        <v>50</v>
      </c>
      <c r="C19" s="2"/>
      <c r="D19" s="2"/>
      <c r="E19" s="3" t="n">
        <f aca="false">AVERAGE(J5:J9)</f>
        <v>0.0203311792727273</v>
      </c>
      <c r="G19" s="3" t="s">
        <v>51</v>
      </c>
      <c r="H19" s="3" t="n">
        <f aca="false">AVERAGE(M5:M9)</f>
        <v>37.25</v>
      </c>
    </row>
    <row r="20" customFormat="false" ht="15" hidden="false" customHeight="false" outlineLevel="0" collapsed="false">
      <c r="B20" s="2" t="s">
        <v>50</v>
      </c>
      <c r="C20" s="2"/>
      <c r="D20" s="2"/>
      <c r="E20" s="3" t="n">
        <f aca="false">AVERAGE(I5:I9)</f>
        <v>138.46038</v>
      </c>
    </row>
  </sheetData>
  <mergeCells count="8">
    <mergeCell ref="B12:D12"/>
    <mergeCell ref="B13:D13"/>
    <mergeCell ref="B14:D14"/>
    <mergeCell ref="B15:D15"/>
    <mergeCell ref="B17:D17"/>
    <mergeCell ref="B18:D18"/>
    <mergeCell ref="B19:D19"/>
    <mergeCell ref="B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0" activeCellId="0" sqref="J40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9.57"/>
    <col collapsed="false" customWidth="true" hidden="false" outlineLevel="0" max="4" min="4" style="0" width="12.28"/>
    <col collapsed="false" customWidth="true" hidden="false" outlineLevel="0" max="5" min="5" style="0" width="24.43"/>
    <col collapsed="false" customWidth="true" hidden="false" outlineLevel="0" max="6" min="6" style="0" width="22.57"/>
    <col collapsed="false" customWidth="true" hidden="false" outlineLevel="0" max="7" min="7" style="0" width="25"/>
    <col collapsed="false" customWidth="true" hidden="false" outlineLevel="0" max="8" min="8" style="0" width="21.85"/>
    <col collapsed="false" customWidth="true" hidden="false" outlineLevel="0" max="9" min="9" style="0" width="10.57"/>
    <col collapsed="false" customWidth="true" hidden="false" outlineLevel="0" max="10" min="10" style="0" width="10.71"/>
  </cols>
  <sheetData>
    <row r="2" customFormat="false" ht="15" hidden="false" customHeight="false" outlineLevel="0" collapsed="false">
      <c r="B2" s="0" t="s">
        <v>52</v>
      </c>
    </row>
    <row r="4" customFormat="false" ht="15" hidden="false" customHeight="false" outlineLevel="0" collapsed="false">
      <c r="B4" s="1" t="s">
        <v>1</v>
      </c>
      <c r="C4" s="1" t="s">
        <v>2</v>
      </c>
      <c r="D4" s="1" t="s">
        <v>3</v>
      </c>
      <c r="E4" s="1" t="s">
        <v>5</v>
      </c>
      <c r="F4" s="1" t="s">
        <v>6</v>
      </c>
      <c r="G4" s="1" t="s">
        <v>8</v>
      </c>
      <c r="H4" s="1" t="s">
        <v>9</v>
      </c>
      <c r="I4" s="1" t="s">
        <v>10</v>
      </c>
      <c r="J4" s="1" t="s">
        <v>12</v>
      </c>
      <c r="K4" s="1" t="s">
        <v>14</v>
      </c>
      <c r="L4" s="1" t="s">
        <v>15</v>
      </c>
    </row>
    <row r="5" customFormat="false" ht="15" hidden="false" customHeight="false" outlineLevel="0" collapsed="false">
      <c r="B5" s="1" t="n">
        <v>1</v>
      </c>
      <c r="C5" s="1" t="n">
        <v>161</v>
      </c>
      <c r="D5" s="1" t="n">
        <f aca="false">C5-B5</f>
        <v>160</v>
      </c>
      <c r="E5" s="1" t="n">
        <v>189.24</v>
      </c>
      <c r="F5" s="1" t="n">
        <f aca="false">(E5/(D5/30))/1000</f>
        <v>0.0354825</v>
      </c>
      <c r="G5" s="1" t="n">
        <v>10.14</v>
      </c>
      <c r="H5" s="1" t="n">
        <f aca="false">(G5/(D5/30))/1000</f>
        <v>0.00190125</v>
      </c>
      <c r="I5" s="1" t="n">
        <v>19.84</v>
      </c>
      <c r="J5" s="1" t="n">
        <v>4</v>
      </c>
      <c r="K5" s="1" t="n">
        <v>1</v>
      </c>
      <c r="L5" s="1" t="n">
        <v>1</v>
      </c>
    </row>
    <row r="6" customFormat="false" ht="15" hidden="false" customHeight="false" outlineLevel="0" collapsed="false">
      <c r="B6" s="1" t="n">
        <v>201</v>
      </c>
      <c r="C6" s="1" t="n">
        <v>411</v>
      </c>
      <c r="D6" s="1" t="n">
        <f aca="false">C6-B6</f>
        <v>210</v>
      </c>
      <c r="E6" s="5" t="n">
        <v>88.61</v>
      </c>
      <c r="F6" s="1" t="n">
        <f aca="false">(E6/(D6/30))/1000</f>
        <v>0.0126585714285714</v>
      </c>
      <c r="G6" s="1" t="n">
        <v>153.45</v>
      </c>
      <c r="H6" s="1" t="n">
        <f aca="false">(G6/(D6/30))/1000</f>
        <v>0.0219214285714286</v>
      </c>
      <c r="I6" s="1" t="n">
        <v>15.56</v>
      </c>
      <c r="J6" s="1" t="n">
        <v>35.86</v>
      </c>
      <c r="K6" s="1" t="n">
        <v>2</v>
      </c>
      <c r="L6" s="1" t="n">
        <v>1</v>
      </c>
    </row>
    <row r="7" customFormat="false" ht="15" hidden="false" customHeight="false" outlineLevel="0" collapsed="false">
      <c r="B7" s="1" t="n">
        <v>415</v>
      </c>
      <c r="C7" s="1" t="n">
        <v>551</v>
      </c>
      <c r="D7" s="1" t="n">
        <f aca="false">C7-B7</f>
        <v>136</v>
      </c>
      <c r="E7" s="1" t="n">
        <v>131.14</v>
      </c>
      <c r="F7" s="1" t="n">
        <f aca="false">(E7/(D7/30))/1000</f>
        <v>0.0289279411764706</v>
      </c>
      <c r="G7" s="1" t="n">
        <v>120.39</v>
      </c>
      <c r="H7" s="1" t="n">
        <f aca="false">(G7/(D7/30))/1000</f>
        <v>0.0265566176470588</v>
      </c>
      <c r="I7" s="1" t="n">
        <v>13.14</v>
      </c>
      <c r="J7" s="1" t="n">
        <v>25.27</v>
      </c>
      <c r="K7" s="1" t="n">
        <v>1</v>
      </c>
      <c r="L7" s="1" t="n">
        <v>2</v>
      </c>
    </row>
    <row r="8" customFormat="false" ht="15" hidden="false" customHeight="false" outlineLevel="0" collapsed="false">
      <c r="B8" s="1" t="n">
        <v>560</v>
      </c>
      <c r="C8" s="1" t="n">
        <v>675</v>
      </c>
      <c r="D8" s="1" t="n">
        <f aca="false">C8-B8</f>
        <v>115</v>
      </c>
      <c r="E8" s="1" t="n">
        <v>133.31</v>
      </c>
      <c r="F8" s="1" t="n">
        <f aca="false">(E8/(D8/30))/1000</f>
        <v>0.0347765217391304</v>
      </c>
      <c r="G8" s="1" t="n">
        <v>85.01</v>
      </c>
      <c r="H8" s="1" t="n">
        <f aca="false">(G8/(D8/30))/1000</f>
        <v>0.0221765217391304</v>
      </c>
      <c r="I8" s="1" t="n">
        <v>15.04</v>
      </c>
      <c r="J8" s="1" t="n">
        <v>35.65</v>
      </c>
      <c r="K8" s="1" t="n">
        <v>2</v>
      </c>
      <c r="L8" s="1" t="n">
        <v>2</v>
      </c>
    </row>
    <row r="9" customFormat="false" ht="15" hidden="false" customHeight="false" outlineLevel="0" collapsed="false">
      <c r="B9" s="1" t="n">
        <v>691</v>
      </c>
      <c r="C9" s="1" t="n">
        <v>800</v>
      </c>
      <c r="D9" s="1" t="n">
        <f aca="false">C9-B9</f>
        <v>109</v>
      </c>
      <c r="E9" s="1" t="n">
        <v>140.34</v>
      </c>
      <c r="F9" s="1" t="n">
        <f aca="false">(E9/(D9/30))/1000</f>
        <v>0.0386256880733945</v>
      </c>
      <c r="G9" s="1" t="n">
        <v>100.6</v>
      </c>
      <c r="H9" s="1" t="n">
        <f aca="false">(G9/(D9/30))/1000</f>
        <v>0.0276880733944954</v>
      </c>
      <c r="I9" s="1" t="n">
        <v>15.92</v>
      </c>
      <c r="J9" s="1" t="n">
        <v>38.58</v>
      </c>
      <c r="K9" s="1" t="n">
        <v>1</v>
      </c>
      <c r="L9" s="1" t="n">
        <v>3</v>
      </c>
    </row>
    <row r="10" customFormat="false" ht="15" hidden="false" customHeight="false" outlineLevel="0" collapsed="false">
      <c r="B10" s="1" t="n">
        <v>861</v>
      </c>
      <c r="C10" s="1" t="n">
        <v>1041</v>
      </c>
      <c r="D10" s="1" t="n">
        <f aca="false">C10-B10</f>
        <v>180</v>
      </c>
      <c r="E10" s="1" t="n">
        <v>202.28</v>
      </c>
      <c r="F10" s="1" t="n">
        <f aca="false">(E10/(D10/30))/1000</f>
        <v>0.0337133333333333</v>
      </c>
      <c r="G10" s="1" t="n">
        <v>114</v>
      </c>
      <c r="H10" s="1" t="n">
        <f aca="false">(G10/(D10/30))/1000</f>
        <v>0.019</v>
      </c>
      <c r="I10" s="1" t="n">
        <v>22.08</v>
      </c>
      <c r="J10" s="1" t="n">
        <v>62.28</v>
      </c>
      <c r="K10" s="1" t="n">
        <v>2</v>
      </c>
      <c r="L10" s="1" t="n">
        <v>3</v>
      </c>
    </row>
    <row r="11" customFormat="false" ht="15" hidden="false" customHeight="false" outlineLevel="0" collapsed="false">
      <c r="B11" s="1" t="n">
        <v>1071</v>
      </c>
      <c r="C11" s="1" t="n">
        <v>1211</v>
      </c>
      <c r="D11" s="1" t="n">
        <f aca="false">C11-B11</f>
        <v>140</v>
      </c>
      <c r="E11" s="1" t="n">
        <v>98.33</v>
      </c>
      <c r="F11" s="1" t="n">
        <f aca="false">(E11/(D11/30))/1000</f>
        <v>0.0210707142857143</v>
      </c>
      <c r="G11" s="1" t="n">
        <v>104.88</v>
      </c>
      <c r="H11" s="1" t="n">
        <f aca="false">(G11/(D11/30))/1000</f>
        <v>0.0224742857142857</v>
      </c>
      <c r="I11" s="1" t="n">
        <v>27.33</v>
      </c>
      <c r="J11" s="1" t="n">
        <v>84.16</v>
      </c>
      <c r="K11" s="1" t="n">
        <v>1</v>
      </c>
      <c r="L11" s="1" t="n">
        <v>4</v>
      </c>
    </row>
    <row r="12" customFormat="false" ht="15" hidden="false" customHeight="false" outlineLevel="0" collapsed="false">
      <c r="B12" s="1" t="n">
        <v>1251</v>
      </c>
      <c r="C12" s="1" t="n">
        <v>1351</v>
      </c>
      <c r="D12" s="1" t="n">
        <f aca="false">C12-B12</f>
        <v>100</v>
      </c>
      <c r="E12" s="1" t="n">
        <v>118.18</v>
      </c>
      <c r="F12" s="1" t="n">
        <f aca="false">(E12/(D12/30))/1000</f>
        <v>0.035454</v>
      </c>
      <c r="G12" s="1" t="n">
        <v>148.39</v>
      </c>
      <c r="H12" s="1" t="n">
        <f aca="false">(G12/(D12/30))/1000</f>
        <v>0.044517</v>
      </c>
      <c r="I12" s="1" t="n">
        <v>19.82</v>
      </c>
      <c r="J12" s="1" t="n">
        <v>89.94</v>
      </c>
      <c r="K12" s="1" t="n">
        <v>2</v>
      </c>
      <c r="L12" s="1" t="n">
        <v>4</v>
      </c>
    </row>
    <row r="13" customFormat="false" ht="15" hidden="false" customHeight="false" outlineLevel="0" collapsed="false">
      <c r="B13" s="1" t="n">
        <v>1391</v>
      </c>
      <c r="C13" s="1" t="n">
        <v>1561</v>
      </c>
      <c r="D13" s="1" t="n">
        <f aca="false">C13-B13</f>
        <v>170</v>
      </c>
      <c r="E13" s="1" t="n">
        <v>120.47</v>
      </c>
      <c r="F13" s="1" t="n">
        <f aca="false">(E13/(D13/30))/1000</f>
        <v>0.0212594117647059</v>
      </c>
      <c r="G13" s="1" t="n">
        <v>114.36</v>
      </c>
      <c r="H13" s="1" t="n">
        <f aca="false">(G13/(D13/30))/1000</f>
        <v>0.0201811764705882</v>
      </c>
      <c r="I13" s="1" t="n">
        <v>26.21</v>
      </c>
      <c r="J13" s="1" t="n">
        <v>107.23</v>
      </c>
      <c r="K13" s="1" t="n">
        <v>1</v>
      </c>
      <c r="L13" s="1" t="n">
        <v>5</v>
      </c>
    </row>
    <row r="14" customFormat="false" ht="15" hidden="false" customHeight="false" outlineLevel="0" collapsed="false">
      <c r="B14" s="1" t="n">
        <v>1565</v>
      </c>
      <c r="C14" s="1" t="n">
        <v>1741</v>
      </c>
      <c r="D14" s="1" t="n">
        <f aca="false">C14-B14</f>
        <v>176</v>
      </c>
      <c r="E14" s="1" t="n">
        <v>121.85</v>
      </c>
      <c r="F14" s="1" t="n">
        <f aca="false">(E14/(D14/30))/1000</f>
        <v>0.0207698863636364</v>
      </c>
      <c r="G14" s="1" t="n">
        <v>124.9</v>
      </c>
      <c r="H14" s="1" t="n">
        <f aca="false">(G14/(D14/30))/1000</f>
        <v>0.0212897727272727</v>
      </c>
      <c r="I14" s="1" t="n">
        <v>21.31</v>
      </c>
      <c r="J14" s="1" t="n">
        <v>73.84</v>
      </c>
      <c r="K14" s="1" t="n">
        <v>2</v>
      </c>
      <c r="L14" s="1" t="n">
        <v>5</v>
      </c>
    </row>
    <row r="15" customFormat="false" ht="15" hidden="false" customHeight="false" outlineLevel="0" collapsed="false">
      <c r="B15" s="1" t="n">
        <v>1742</v>
      </c>
      <c r="C15" s="1" t="n">
        <v>1840</v>
      </c>
      <c r="D15" s="1" t="n">
        <f aca="false">C15-B15</f>
        <v>98</v>
      </c>
      <c r="E15" s="1" t="n">
        <v>88.46</v>
      </c>
      <c r="F15" s="1" t="n">
        <f aca="false">(E15/(D15/30))/1000</f>
        <v>0.0270795918367347</v>
      </c>
      <c r="G15" s="1" t="n">
        <v>110.43</v>
      </c>
      <c r="H15" s="1" t="n">
        <f aca="false">(G15/(D15/30))/1000</f>
        <v>0.0338051020408163</v>
      </c>
      <c r="I15" s="1" t="n">
        <v>16.56</v>
      </c>
      <c r="J15" s="1" t="n">
        <v>68.97</v>
      </c>
      <c r="K15" s="1" t="n">
        <v>1</v>
      </c>
      <c r="L15" s="1" t="n">
        <v>6</v>
      </c>
    </row>
    <row r="16" customFormat="false" ht="15" hidden="false" customHeight="false" outlineLevel="0" collapsed="false">
      <c r="B16" s="1" t="n">
        <v>1850</v>
      </c>
      <c r="C16" s="1" t="n">
        <v>1950</v>
      </c>
      <c r="D16" s="1" t="n">
        <f aca="false">C16-B16</f>
        <v>100</v>
      </c>
      <c r="E16" s="1" t="n">
        <v>95.67</v>
      </c>
      <c r="F16" s="1" t="n">
        <f aca="false">(E16/(D16/30))/1000</f>
        <v>0.028701</v>
      </c>
      <c r="G16" s="1" t="n">
        <v>111.03</v>
      </c>
      <c r="H16" s="1" t="n">
        <f aca="false">(G16/(D16/30))/1000</f>
        <v>0.033309</v>
      </c>
      <c r="I16" s="1" t="n">
        <v>17.1</v>
      </c>
      <c r="J16" s="1" t="n">
        <v>67.76</v>
      </c>
      <c r="K16" s="1" t="n">
        <v>2</v>
      </c>
      <c r="L16" s="1" t="n">
        <v>6</v>
      </c>
    </row>
    <row r="17" customFormat="false" ht="15" hidden="false" customHeight="false" outlineLevel="0" collapsed="false">
      <c r="B17" s="1" t="n">
        <v>1951</v>
      </c>
      <c r="C17" s="1" t="n">
        <v>2060</v>
      </c>
      <c r="D17" s="1" t="n">
        <f aca="false">C17-B17</f>
        <v>109</v>
      </c>
      <c r="E17" s="1" t="n">
        <v>139.39</v>
      </c>
      <c r="F17" s="1" t="n">
        <f aca="false">(E17/(D17/30))/1000</f>
        <v>0.0383642201834862</v>
      </c>
      <c r="G17" s="1" t="n">
        <v>143.95</v>
      </c>
      <c r="H17" s="1" t="n">
        <f aca="false">(G17/(D17/30))/1000</f>
        <v>0.0396192660550459</v>
      </c>
      <c r="I17" s="1" t="n">
        <v>23.65</v>
      </c>
      <c r="J17" s="1" t="n">
        <v>100.87</v>
      </c>
      <c r="K17" s="1" t="n">
        <v>1</v>
      </c>
      <c r="L17" s="1" t="n">
        <v>7</v>
      </c>
    </row>
    <row r="18" customFormat="false" ht="15" hidden="false" customHeight="false" outlineLevel="0" collapsed="false">
      <c r="B18" s="1" t="n">
        <v>2061</v>
      </c>
      <c r="C18" s="1" t="n">
        <v>2200</v>
      </c>
      <c r="D18" s="1" t="n">
        <f aca="false">C18-B18</f>
        <v>139</v>
      </c>
      <c r="E18" s="1" t="n">
        <v>152.71</v>
      </c>
      <c r="F18" s="1" t="n">
        <f aca="false">(E18/(D18/30))/1000</f>
        <v>0.0329589928057554</v>
      </c>
      <c r="G18" s="1" t="n">
        <v>156.73</v>
      </c>
      <c r="H18" s="1" t="n">
        <f aca="false">(G18/(D18/30))/1000</f>
        <v>0.033826618705036</v>
      </c>
      <c r="I18" s="1" t="n">
        <v>23.75</v>
      </c>
      <c r="J18" s="1" t="n">
        <v>107.79</v>
      </c>
      <c r="K18" s="1" t="n">
        <v>2</v>
      </c>
      <c r="L18" s="1" t="n">
        <v>7</v>
      </c>
    </row>
    <row r="19" customFormat="false" ht="15" hidden="false" customHeight="false" outlineLevel="0" collapsed="false">
      <c r="B19" s="1" t="n">
        <v>2201</v>
      </c>
      <c r="C19" s="1" t="n">
        <v>2300</v>
      </c>
      <c r="D19" s="1" t="n">
        <f aca="false">C19-B19</f>
        <v>99</v>
      </c>
      <c r="E19" s="1" t="n">
        <v>106.06</v>
      </c>
      <c r="F19" s="1" t="n">
        <f aca="false">(E19/(D19/30))/1000</f>
        <v>0.0321393939393939</v>
      </c>
      <c r="G19" s="1" t="n">
        <v>128.14</v>
      </c>
      <c r="H19" s="1" t="n">
        <f aca="false">(G19/(D19/30))/1000</f>
        <v>0.038830303030303</v>
      </c>
      <c r="I19" s="1" t="n">
        <v>21.57</v>
      </c>
      <c r="J19" s="1" t="n">
        <v>86.3</v>
      </c>
      <c r="K19" s="1" t="n">
        <v>1</v>
      </c>
      <c r="L19" s="1" t="n">
        <v>8</v>
      </c>
    </row>
    <row r="20" customFormat="false" ht="15" hidden="false" customHeight="false" outlineLevel="0" collapsed="false">
      <c r="B20" s="1" t="n">
        <v>2301</v>
      </c>
      <c r="C20" s="1" t="n">
        <v>2410</v>
      </c>
      <c r="D20" s="1" t="n">
        <f aca="false">C20-B20</f>
        <v>109</v>
      </c>
      <c r="E20" s="1" t="n">
        <v>97.81</v>
      </c>
      <c r="F20" s="1" t="n">
        <f aca="false">(E20/(D20/30))/1000</f>
        <v>0.0269201834862385</v>
      </c>
      <c r="G20" s="1" t="n">
        <v>84.52</v>
      </c>
      <c r="H20" s="1" t="n">
        <f aca="false">(G20/(D20/30))/1000</f>
        <v>0.0232623853211009</v>
      </c>
      <c r="I20" s="1" t="n">
        <v>18.26</v>
      </c>
      <c r="J20" s="1" t="n">
        <v>60.28</v>
      </c>
      <c r="K20" s="1" t="n">
        <v>2</v>
      </c>
      <c r="L20" s="1" t="n">
        <v>8</v>
      </c>
    </row>
    <row r="21" customFormat="false" ht="15" hidden="false" customHeight="false" outlineLevel="0" collapsed="false">
      <c r="B21" s="1" t="n">
        <v>2411</v>
      </c>
      <c r="C21" s="1" t="n">
        <v>2510</v>
      </c>
      <c r="D21" s="1" t="n">
        <f aca="false">C21-B21</f>
        <v>99</v>
      </c>
      <c r="E21" s="1" t="n">
        <v>124.89</v>
      </c>
      <c r="F21" s="1" t="n">
        <f aca="false">(E21/(D21/30))/1000</f>
        <v>0.0378454545454545</v>
      </c>
      <c r="G21" s="1" t="n">
        <v>107.19</v>
      </c>
      <c r="H21" s="1" t="n">
        <f aca="false">(G21/(D21/30))/1000</f>
        <v>0.0324818181818182</v>
      </c>
      <c r="I21" s="1" t="n">
        <v>19.12</v>
      </c>
      <c r="J21" s="1" t="n">
        <v>81.49</v>
      </c>
      <c r="K21" s="1" t="n">
        <v>1</v>
      </c>
      <c r="L21" s="1" t="n">
        <v>9</v>
      </c>
    </row>
    <row r="22" customFormat="false" ht="15" hidden="false" customHeight="false" outlineLevel="0" collapsed="false">
      <c r="B22" s="1" t="n">
        <v>2511</v>
      </c>
      <c r="C22" s="1" t="n">
        <v>2621</v>
      </c>
      <c r="D22" s="1" t="n">
        <f aca="false">C22-B22</f>
        <v>110</v>
      </c>
      <c r="E22" s="1" t="n">
        <v>140.15</v>
      </c>
      <c r="F22" s="1" t="n">
        <f aca="false">(E22/(D22/30))/1000</f>
        <v>0.0382227272727273</v>
      </c>
      <c r="G22" s="1" t="n">
        <v>146.03</v>
      </c>
      <c r="H22" s="1" t="n">
        <f aca="false">(G22/(D22/30))/1000</f>
        <v>0.0398263636363636</v>
      </c>
      <c r="I22" s="1" t="n">
        <v>24.13</v>
      </c>
      <c r="J22" s="1" t="n">
        <v>110.49</v>
      </c>
      <c r="K22" s="1" t="n">
        <v>2</v>
      </c>
      <c r="L22" s="1" t="n">
        <v>9</v>
      </c>
    </row>
    <row r="23" customFormat="false" ht="15" hidden="false" customHeight="false" outlineLevel="0" collapsed="false">
      <c r="B23" s="1" t="n">
        <v>2630</v>
      </c>
      <c r="C23" s="1" t="n">
        <v>2900</v>
      </c>
      <c r="D23" s="1" t="n">
        <f aca="false">C23-B23</f>
        <v>270</v>
      </c>
      <c r="E23" s="1" t="n">
        <v>172.75</v>
      </c>
      <c r="F23" s="1" t="n">
        <f aca="false">(E23/(D23/30))/1000</f>
        <v>0.0191944444444444</v>
      </c>
      <c r="G23" s="1" t="n">
        <v>161.16</v>
      </c>
      <c r="H23" s="1" t="n">
        <f aca="false">(G23/(D23/30))/1000</f>
        <v>0.0179066666666667</v>
      </c>
      <c r="I23" s="1" t="n">
        <v>26.79</v>
      </c>
      <c r="J23" s="1" t="n">
        <v>117.24</v>
      </c>
      <c r="K23" s="1" t="n">
        <v>1</v>
      </c>
      <c r="L23" s="1" t="n">
        <v>10</v>
      </c>
    </row>
    <row r="24" customFormat="false" ht="15" hidden="false" customHeight="false" outlineLevel="0" collapsed="false">
      <c r="B24" s="1" t="n">
        <v>2901</v>
      </c>
      <c r="C24" s="1" t="n">
        <v>3110</v>
      </c>
      <c r="D24" s="1" t="n">
        <f aca="false">C24-B24</f>
        <v>209</v>
      </c>
      <c r="E24" s="1" t="n">
        <v>150.28</v>
      </c>
      <c r="F24" s="1" t="n">
        <f aca="false">(E24/(D24/30))/1000</f>
        <v>0.0215712918660287</v>
      </c>
      <c r="G24" s="1" t="n">
        <v>60.56</v>
      </c>
      <c r="H24" s="1" t="n">
        <f aca="false">(G24/(D24/30))/1000</f>
        <v>0.00869282296650718</v>
      </c>
      <c r="I24" s="1" t="n">
        <v>17.26</v>
      </c>
      <c r="J24" s="1" t="n">
        <v>33.93</v>
      </c>
      <c r="K24" s="1" t="n">
        <v>2</v>
      </c>
      <c r="L24" s="1" t="n">
        <v>10</v>
      </c>
    </row>
    <row r="25" customFormat="false" ht="15" hidden="false" customHeight="false" outlineLevel="0" collapsed="false">
      <c r="B25" s="1" t="n">
        <v>3111</v>
      </c>
      <c r="C25" s="1" t="n">
        <v>3281</v>
      </c>
      <c r="D25" s="1" t="n">
        <f aca="false">C25-B25</f>
        <v>170</v>
      </c>
      <c r="E25" s="1" t="n">
        <v>88.75</v>
      </c>
      <c r="F25" s="1" t="n">
        <f aca="false">(E25/(D25/30))/1000</f>
        <v>0.0156617647058824</v>
      </c>
      <c r="G25" s="1" t="n">
        <v>128.85</v>
      </c>
      <c r="H25" s="1" t="n">
        <f aca="false">(G25/(D25/30))/1000</f>
        <v>0.0227382352941176</v>
      </c>
      <c r="I25" s="1" t="n">
        <v>16.31</v>
      </c>
      <c r="J25" s="1" t="n">
        <v>92.46</v>
      </c>
      <c r="K25" s="1" t="n">
        <v>1</v>
      </c>
      <c r="L25" s="1" t="n">
        <v>11</v>
      </c>
    </row>
    <row r="26" customFormat="false" ht="15" hidden="false" customHeight="false" outlineLevel="0" collapsed="false">
      <c r="B26" s="1" t="n">
        <v>3321</v>
      </c>
      <c r="C26" s="1" t="n">
        <v>3491</v>
      </c>
      <c r="D26" s="1" t="n">
        <f aca="false">C26-B26</f>
        <v>170</v>
      </c>
      <c r="E26" s="1" t="n">
        <v>86.46</v>
      </c>
      <c r="F26" s="1" t="n">
        <f aca="false">(E26/(D26/30))/1000</f>
        <v>0.0152576470588235</v>
      </c>
      <c r="G26" s="1" t="n">
        <v>65.14</v>
      </c>
      <c r="H26" s="1" t="n">
        <f aca="false">(G26/(D26/30))/1000</f>
        <v>0.0114952941176471</v>
      </c>
      <c r="I26" s="1" t="n">
        <v>19.4</v>
      </c>
      <c r="J26" s="1" t="n">
        <v>84.51</v>
      </c>
      <c r="K26" s="1" t="n">
        <v>2</v>
      </c>
      <c r="L26" s="1" t="n">
        <v>11</v>
      </c>
    </row>
    <row r="28" customFormat="false" ht="15" hidden="false" customHeight="false" outlineLevel="0" collapsed="false">
      <c r="B28" s="2" t="s">
        <v>39</v>
      </c>
      <c r="C28" s="2"/>
      <c r="D28" s="2"/>
      <c r="E28" s="3" t="n">
        <f aca="false">MAX(F5:F26)</f>
        <v>0.0386256880733945</v>
      </c>
      <c r="G28" s="3" t="s">
        <v>40</v>
      </c>
      <c r="H28" s="3" t="n">
        <f aca="false">MAX(I5:I26)</f>
        <v>27.33</v>
      </c>
    </row>
    <row r="29" customFormat="false" ht="15" hidden="false" customHeight="false" outlineLevel="0" collapsed="false">
      <c r="B29" s="2" t="s">
        <v>41</v>
      </c>
      <c r="C29" s="2"/>
      <c r="D29" s="2"/>
      <c r="E29" s="3" t="n">
        <f aca="false">MIN(F5:F26)</f>
        <v>0.0126585714285714</v>
      </c>
      <c r="G29" s="3" t="s">
        <v>42</v>
      </c>
      <c r="H29" s="3" t="n">
        <f aca="false">MIN(I5:I26)</f>
        <v>13.14</v>
      </c>
    </row>
    <row r="30" customFormat="false" ht="15" hidden="false" customHeight="false" outlineLevel="0" collapsed="false">
      <c r="B30" s="2" t="s">
        <v>43</v>
      </c>
      <c r="C30" s="2"/>
      <c r="D30" s="2"/>
      <c r="E30" s="3" t="n">
        <f aca="false">AVERAGE(F5:F26)</f>
        <v>0.028029785468633</v>
      </c>
      <c r="G30" s="3" t="s">
        <v>44</v>
      </c>
      <c r="H30" s="3" t="n">
        <f aca="false">AVERAGE(I5:I26)</f>
        <v>20.0068181818182</v>
      </c>
    </row>
    <row r="31" customFormat="false" ht="15" hidden="false" customHeight="false" outlineLevel="0" collapsed="false">
      <c r="B31" s="2" t="s">
        <v>45</v>
      </c>
      <c r="C31" s="2"/>
      <c r="D31" s="2"/>
      <c r="E31" s="3" t="n">
        <f aca="false">AVERAGE(E5:E26)</f>
        <v>126.687727272727</v>
      </c>
    </row>
    <row r="32" customFormat="false" ht="15" hidden="false" customHeight="false" outlineLevel="0" collapsed="false">
      <c r="B32" s="4"/>
      <c r="C32" s="4"/>
      <c r="D32" s="4"/>
    </row>
    <row r="33" customFormat="false" ht="15" hidden="false" customHeight="false" outlineLevel="0" collapsed="false">
      <c r="B33" s="2" t="s">
        <v>46</v>
      </c>
      <c r="C33" s="2"/>
      <c r="D33" s="2"/>
      <c r="E33" s="3" t="n">
        <f aca="false">MAX(H5:H26)</f>
        <v>0.044517</v>
      </c>
      <c r="G33" s="3" t="s">
        <v>47</v>
      </c>
      <c r="H33" s="3" t="n">
        <f aca="false">MAX(J5:J26)</f>
        <v>117.24</v>
      </c>
    </row>
    <row r="34" customFormat="false" ht="15" hidden="false" customHeight="false" outlineLevel="0" collapsed="false">
      <c r="B34" s="2" t="s">
        <v>48</v>
      </c>
      <c r="C34" s="2"/>
      <c r="D34" s="2"/>
      <c r="E34" s="3" t="n">
        <f aca="false">MIN(H5:H26)</f>
        <v>0.00190125</v>
      </c>
      <c r="G34" s="3" t="s">
        <v>49</v>
      </c>
      <c r="H34" s="3" t="n">
        <f aca="false">MIN(J5:J26)</f>
        <v>4</v>
      </c>
    </row>
    <row r="35" customFormat="false" ht="15" hidden="false" customHeight="false" outlineLevel="0" collapsed="false">
      <c r="B35" s="2" t="s">
        <v>50</v>
      </c>
      <c r="C35" s="2"/>
      <c r="D35" s="2"/>
      <c r="E35" s="3" t="n">
        <f aca="false">AVERAGE(H5:H26)</f>
        <v>0.0256136364672583</v>
      </c>
      <c r="G35" s="3" t="s">
        <v>51</v>
      </c>
      <c r="H35" s="3" t="n">
        <f aca="false">AVERAGE(J5:J26)</f>
        <v>71.3136363636364</v>
      </c>
    </row>
    <row r="36" customFormat="false" ht="15" hidden="false" customHeight="false" outlineLevel="0" collapsed="false">
      <c r="B36" s="2" t="s">
        <v>53</v>
      </c>
      <c r="C36" s="2"/>
      <c r="D36" s="2"/>
      <c r="E36" s="3" t="n">
        <f aca="false">AVERAGE(G5:G26)</f>
        <v>112.720454545455</v>
      </c>
    </row>
  </sheetData>
  <mergeCells count="8">
    <mergeCell ref="B28:D28"/>
    <mergeCell ref="B29:D29"/>
    <mergeCell ref="B30:D30"/>
    <mergeCell ref="B31:D31"/>
    <mergeCell ref="B33:D33"/>
    <mergeCell ref="B34:D34"/>
    <mergeCell ref="B35:D35"/>
    <mergeCell ref="B36:D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3" activeCellId="0" sqref="K33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0.14"/>
    <col collapsed="false" customWidth="true" hidden="false" outlineLevel="0" max="3" min="3" style="0" width="9.57"/>
    <col collapsed="false" customWidth="true" hidden="false" outlineLevel="0" max="4" min="4" style="0" width="12.28"/>
    <col collapsed="false" customWidth="true" hidden="false" outlineLevel="0" max="5" min="5" style="0" width="24.43"/>
    <col collapsed="false" customWidth="true" hidden="false" outlineLevel="0" max="6" min="6" style="0" width="22.57"/>
    <col collapsed="false" customWidth="true" hidden="false" outlineLevel="0" max="7" min="7" style="0" width="25"/>
    <col collapsed="false" customWidth="true" hidden="false" outlineLevel="0" max="8" min="8" style="0" width="21.85"/>
    <col collapsed="false" customWidth="true" hidden="false" outlineLevel="0" max="9" min="9" style="0" width="10.57"/>
    <col collapsed="false" customWidth="true" hidden="false" outlineLevel="0" max="10" min="10" style="0" width="10.71"/>
  </cols>
  <sheetData>
    <row r="2" customFormat="false" ht="15" hidden="false" customHeight="false" outlineLevel="0" collapsed="false">
      <c r="B2" s="0" t="s">
        <v>54</v>
      </c>
    </row>
    <row r="4" customFormat="false" ht="15" hidden="false" customHeight="false" outlineLevel="0" collapsed="false">
      <c r="B4" s="1" t="s">
        <v>1</v>
      </c>
      <c r="C4" s="1" t="s">
        <v>2</v>
      </c>
      <c r="D4" s="1" t="s">
        <v>3</v>
      </c>
      <c r="E4" s="1" t="s">
        <v>5</v>
      </c>
      <c r="F4" s="1" t="s">
        <v>6</v>
      </c>
      <c r="G4" s="1" t="s">
        <v>8</v>
      </c>
      <c r="H4" s="1" t="s">
        <v>9</v>
      </c>
      <c r="I4" s="1" t="s">
        <v>10</v>
      </c>
      <c r="J4" s="1" t="s">
        <v>12</v>
      </c>
      <c r="K4" s="1" t="s">
        <v>14</v>
      </c>
      <c r="L4" s="1" t="s">
        <v>15</v>
      </c>
    </row>
    <row r="5" customFormat="false" ht="13.8" hidden="false" customHeight="false" outlineLevel="0" collapsed="false">
      <c r="B5" s="1" t="n">
        <v>1</v>
      </c>
      <c r="C5" s="1" t="n">
        <v>121</v>
      </c>
      <c r="D5" s="1" t="n">
        <f aca="false">C5-B5</f>
        <v>120</v>
      </c>
      <c r="E5" s="5" t="n">
        <v>54.48</v>
      </c>
      <c r="F5" s="1" t="n">
        <f aca="false">(E5/(D5/30))/1000</f>
        <v>0.01362</v>
      </c>
      <c r="G5" s="1" t="n">
        <v>88.38</v>
      </c>
      <c r="H5" s="1" t="n">
        <f aca="false">(G5/(D5/30))/1000</f>
        <v>0.022095</v>
      </c>
      <c r="I5" s="1" t="n">
        <v>35.4</v>
      </c>
      <c r="J5" s="1" t="n">
        <v>15.48</v>
      </c>
      <c r="K5" s="1" t="n">
        <v>1</v>
      </c>
      <c r="L5" s="1" t="n">
        <v>1</v>
      </c>
    </row>
    <row r="6" customFormat="false" ht="13.8" hidden="false" customHeight="false" outlineLevel="0" collapsed="false">
      <c r="B6" s="1" t="n">
        <v>131</v>
      </c>
      <c r="C6" s="1" t="n">
        <v>251</v>
      </c>
      <c r="D6" s="1" t="n">
        <f aca="false">C6-B6</f>
        <v>120</v>
      </c>
      <c r="E6" s="1" t="n">
        <v>7.1</v>
      </c>
      <c r="F6" s="1" t="n">
        <f aca="false">(E5/(D6/30))/1000</f>
        <v>0.01362</v>
      </c>
      <c r="G6" s="1" t="n">
        <v>100.93</v>
      </c>
      <c r="H6" s="1" t="n">
        <f aca="false">(G5/(D6/30))/1000</f>
        <v>0.022095</v>
      </c>
      <c r="I6" s="1" t="n">
        <v>31.99</v>
      </c>
      <c r="J6" s="1" t="n">
        <v>13.46</v>
      </c>
      <c r="K6" s="1" t="n">
        <v>2</v>
      </c>
      <c r="L6" s="1" t="n">
        <v>1</v>
      </c>
    </row>
    <row r="7" customFormat="false" ht="13.8" hidden="false" customHeight="false" outlineLevel="0" collapsed="false">
      <c r="B7" s="1" t="n">
        <v>261</v>
      </c>
      <c r="C7" s="1" t="n">
        <v>371</v>
      </c>
      <c r="D7" s="1" t="n">
        <f aca="false">C7-B7</f>
        <v>110</v>
      </c>
      <c r="E7" s="1" t="n">
        <v>4.11</v>
      </c>
      <c r="F7" s="1" t="n">
        <f aca="false">(E6/(D7/30))/1000</f>
        <v>0.00193636363636364</v>
      </c>
      <c r="G7" s="1" t="n">
        <v>203.96</v>
      </c>
      <c r="H7" s="1" t="n">
        <f aca="false">(G6/(D7/30))/1000</f>
        <v>0.0275263636363636</v>
      </c>
      <c r="I7" s="1" t="n">
        <v>48.57</v>
      </c>
      <c r="J7" s="1" t="n">
        <v>34.04</v>
      </c>
      <c r="K7" s="1" t="n">
        <v>1</v>
      </c>
      <c r="L7" s="1" t="n">
        <v>2</v>
      </c>
    </row>
    <row r="8" customFormat="false" ht="13.8" hidden="false" customHeight="false" outlineLevel="0" collapsed="false">
      <c r="B8" s="1" t="n">
        <v>372</v>
      </c>
      <c r="C8" s="1" t="n">
        <v>491</v>
      </c>
      <c r="D8" s="1" t="n">
        <f aca="false">C8-B8</f>
        <v>119</v>
      </c>
      <c r="E8" s="1" t="n">
        <v>13.77</v>
      </c>
      <c r="F8" s="1" t="n">
        <f aca="false">(E7/(D8/30))/1000</f>
        <v>0.00103613445378151</v>
      </c>
      <c r="G8" s="1" t="n">
        <v>180.53</v>
      </c>
      <c r="H8" s="1" t="n">
        <f aca="false">(G7/(D8/30))/1000</f>
        <v>0.051418487394958</v>
      </c>
      <c r="I8" s="1" t="n">
        <v>43.8</v>
      </c>
      <c r="J8" s="1" t="n">
        <v>29.92</v>
      </c>
      <c r="K8" s="1" t="n">
        <v>2</v>
      </c>
      <c r="L8" s="1" t="n">
        <v>2</v>
      </c>
    </row>
    <row r="9" customFormat="false" ht="13.8" hidden="false" customHeight="false" outlineLevel="0" collapsed="false">
      <c r="B9" s="1" t="n">
        <v>501</v>
      </c>
      <c r="C9" s="1" t="n">
        <v>561</v>
      </c>
      <c r="D9" s="1" t="n">
        <f aca="false">C9-B9</f>
        <v>60</v>
      </c>
      <c r="E9" s="1" t="n">
        <v>3.5</v>
      </c>
      <c r="F9" s="1" t="n">
        <f aca="false">(E8/(D9/30))/1000</f>
        <v>0.006885</v>
      </c>
      <c r="G9" s="1" t="n">
        <v>119.48</v>
      </c>
      <c r="H9" s="1" t="n">
        <f aca="false">(G8/(D9/30))/1000</f>
        <v>0.090265</v>
      </c>
      <c r="I9" s="1" t="n">
        <v>26.37</v>
      </c>
      <c r="J9" s="1" t="n">
        <v>16.79</v>
      </c>
      <c r="K9" s="1" t="n">
        <v>1</v>
      </c>
      <c r="L9" s="1" t="n">
        <v>3</v>
      </c>
    </row>
    <row r="10" customFormat="false" ht="13.8" hidden="false" customHeight="false" outlineLevel="0" collapsed="false">
      <c r="B10" s="1" t="n">
        <v>562</v>
      </c>
      <c r="C10" s="1" t="n">
        <v>641</v>
      </c>
      <c r="D10" s="1" t="n">
        <f aca="false">C10-B10</f>
        <v>79</v>
      </c>
      <c r="E10" s="1" t="n">
        <v>3.17</v>
      </c>
      <c r="F10" s="1" t="n">
        <f aca="false">(E9/(D10/30))/1000</f>
        <v>0.00132911392405063</v>
      </c>
      <c r="G10" s="1" t="n">
        <v>101.28</v>
      </c>
      <c r="H10" s="1" t="n">
        <f aca="false">(G9/(D10/30))/1000</f>
        <v>0.0453721518987342</v>
      </c>
      <c r="I10" s="1" t="n">
        <v>23.11</v>
      </c>
      <c r="J10" s="1" t="n">
        <v>15.22</v>
      </c>
      <c r="K10" s="1" t="n">
        <v>2</v>
      </c>
      <c r="L10" s="1" t="n">
        <v>3</v>
      </c>
    </row>
    <row r="11" customFormat="false" ht="13.8" hidden="false" customHeight="false" outlineLevel="0" collapsed="false">
      <c r="B11" s="1" t="n">
        <v>651</v>
      </c>
      <c r="C11" s="1" t="n">
        <v>701</v>
      </c>
      <c r="D11" s="1" t="n">
        <f aca="false">C11-B11</f>
        <v>50</v>
      </c>
      <c r="E11" s="1" t="n">
        <v>2.23</v>
      </c>
      <c r="F11" s="1" t="n">
        <f aca="false">(E10/(D11/30))/1000</f>
        <v>0.001902</v>
      </c>
      <c r="G11" s="1" t="n">
        <v>97.62</v>
      </c>
      <c r="H11" s="1" t="n">
        <f aca="false">(G10/(D11/30))/1000</f>
        <v>0.060768</v>
      </c>
      <c r="I11" s="1" t="n">
        <v>20.57</v>
      </c>
      <c r="J11" s="1" t="n">
        <v>16.49</v>
      </c>
      <c r="K11" s="1" t="n">
        <v>1</v>
      </c>
      <c r="L11" s="1" t="n">
        <v>4</v>
      </c>
    </row>
    <row r="12" customFormat="false" ht="13.8" hidden="false" customHeight="false" outlineLevel="0" collapsed="false">
      <c r="B12" s="1" t="n">
        <v>801</v>
      </c>
      <c r="C12" s="1" t="n">
        <v>971</v>
      </c>
      <c r="D12" s="1" t="n">
        <f aca="false">C12-B12</f>
        <v>170</v>
      </c>
      <c r="E12" s="1" t="n">
        <v>2.62</v>
      </c>
      <c r="F12" s="1" t="n">
        <f aca="false">(E11/(D12/30))/1000</f>
        <v>0.000393529411764706</v>
      </c>
      <c r="G12" s="1" t="n">
        <v>132.17</v>
      </c>
      <c r="H12" s="1" t="n">
        <f aca="false">(G11/(D12/30))/1000</f>
        <v>0.0172270588235294</v>
      </c>
      <c r="I12" s="1" t="n">
        <v>5.27</v>
      </c>
      <c r="J12" s="1" t="n">
        <v>32.89</v>
      </c>
      <c r="K12" s="1" t="n">
        <v>2</v>
      </c>
      <c r="L12" s="1" t="n">
        <v>4</v>
      </c>
    </row>
    <row r="13" customFormat="false" ht="13.8" hidden="false" customHeight="false" outlineLevel="0" collapsed="false">
      <c r="B13" s="1" t="n">
        <v>1051</v>
      </c>
      <c r="C13" s="1" t="n">
        <v>1141</v>
      </c>
      <c r="D13" s="1" t="n">
        <f aca="false">C13-B13</f>
        <v>90</v>
      </c>
      <c r="E13" s="1" t="n">
        <v>4.51</v>
      </c>
      <c r="F13" s="1" t="n">
        <f aca="false">(E12/(D13/30))/1000</f>
        <v>0.000873333333333333</v>
      </c>
      <c r="G13" s="1" t="n">
        <v>105.18</v>
      </c>
      <c r="H13" s="1" t="n">
        <f aca="false">(G12/(D13/30))/1000</f>
        <v>0.0440566666666667</v>
      </c>
      <c r="I13" s="1" t="n">
        <v>42.43</v>
      </c>
      <c r="J13" s="1" t="n">
        <v>21.88</v>
      </c>
      <c r="K13" s="1" t="n">
        <v>1</v>
      </c>
      <c r="L13" s="1" t="n">
        <v>5</v>
      </c>
    </row>
    <row r="14" customFormat="false" ht="13.8" hidden="false" customHeight="false" outlineLevel="0" collapsed="false">
      <c r="B14" s="1" t="n">
        <v>1151</v>
      </c>
      <c r="C14" s="1" t="n">
        <v>1221</v>
      </c>
      <c r="D14" s="1" t="n">
        <f aca="false">C14-B14</f>
        <v>70</v>
      </c>
      <c r="E14" s="1" t="n">
        <v>1.6</v>
      </c>
      <c r="F14" s="1" t="n">
        <f aca="false">(E13/(D14/30))/1000</f>
        <v>0.00193285714285714</v>
      </c>
      <c r="G14" s="1" t="n">
        <v>99.31</v>
      </c>
      <c r="H14" s="1" t="n">
        <f aca="false">(G13/(D14/30))/1000</f>
        <v>0.0450771428571429</v>
      </c>
      <c r="I14" s="1" t="n">
        <v>20.42</v>
      </c>
      <c r="J14" s="1" t="n">
        <v>22.11</v>
      </c>
      <c r="K14" s="1" t="n">
        <v>2</v>
      </c>
      <c r="L14" s="1" t="n">
        <v>5</v>
      </c>
    </row>
    <row r="15" customFormat="false" ht="13.8" hidden="false" customHeight="false" outlineLevel="0" collapsed="false">
      <c r="B15" s="1" t="n">
        <v>1231</v>
      </c>
      <c r="C15" s="1" t="n">
        <v>1351</v>
      </c>
      <c r="D15" s="1" t="n">
        <f aca="false">C15-B15</f>
        <v>120</v>
      </c>
      <c r="E15" s="1" t="n">
        <v>14.8</v>
      </c>
      <c r="F15" s="1" t="n">
        <f aca="false">(E14/(D15/30))/1000</f>
        <v>0.0004</v>
      </c>
      <c r="G15" s="1" t="n">
        <v>101.27</v>
      </c>
      <c r="H15" s="1" t="n">
        <f aca="false">(G14/(D15/30))/1000</f>
        <v>0.0248275</v>
      </c>
      <c r="I15" s="1" t="n">
        <v>24.83</v>
      </c>
      <c r="J15" s="1" t="n">
        <v>31.95</v>
      </c>
      <c r="K15" s="1" t="n">
        <v>1</v>
      </c>
      <c r="L15" s="1" t="n">
        <v>6</v>
      </c>
    </row>
    <row r="16" customFormat="false" ht="13.8" hidden="false" customHeight="false" outlineLevel="0" collapsed="false">
      <c r="B16" s="1" t="n">
        <v>1361</v>
      </c>
      <c r="C16" s="1" t="n">
        <v>1451</v>
      </c>
      <c r="D16" s="1" t="n">
        <f aca="false">C16-B16</f>
        <v>90</v>
      </c>
      <c r="E16" s="1" t="n">
        <v>2.1</v>
      </c>
      <c r="F16" s="1" t="n">
        <f aca="false">(E15/(D16/30))/1000</f>
        <v>0.00493333333333333</v>
      </c>
      <c r="G16" s="1" t="n">
        <v>130.61</v>
      </c>
      <c r="H16" s="1" t="n">
        <f aca="false">(G15/(D16/30))/1000</f>
        <v>0.0337566666666667</v>
      </c>
      <c r="I16" s="1" t="n">
        <v>27.17</v>
      </c>
      <c r="J16" s="1" t="n">
        <v>29.21</v>
      </c>
      <c r="K16" s="1" t="n">
        <v>2</v>
      </c>
      <c r="L16" s="1" t="n">
        <v>6</v>
      </c>
    </row>
    <row r="17" customFormat="false" ht="13.8" hidden="false" customHeight="false" outlineLevel="0" collapsed="false">
      <c r="B17" s="1" t="n">
        <v>1452</v>
      </c>
      <c r="C17" s="1" t="n">
        <v>1551</v>
      </c>
      <c r="D17" s="1" t="n">
        <f aca="false">C17-B17</f>
        <v>99</v>
      </c>
      <c r="E17" s="1" t="n">
        <v>1.6</v>
      </c>
      <c r="F17" s="1" t="n">
        <f aca="false">(E16/(D17/30))/1000</f>
        <v>0.000636363636363637</v>
      </c>
      <c r="G17" s="1" t="n">
        <v>90.19</v>
      </c>
      <c r="H17" s="1" t="n">
        <f aca="false">(G16/(D17/30))/1000</f>
        <v>0.0395787878787879</v>
      </c>
      <c r="I17" s="1" t="n">
        <v>37.32</v>
      </c>
      <c r="J17" s="1" t="n">
        <v>36.49</v>
      </c>
      <c r="K17" s="1" t="n">
        <v>1</v>
      </c>
      <c r="L17" s="1" t="n">
        <v>7</v>
      </c>
    </row>
    <row r="18" customFormat="false" ht="13.8" hidden="false" customHeight="false" outlineLevel="0" collapsed="false">
      <c r="B18" s="1" t="n">
        <v>1561</v>
      </c>
      <c r="C18" s="1" t="n">
        <v>1651</v>
      </c>
      <c r="D18" s="1" t="n">
        <f aca="false">C18-B18</f>
        <v>90</v>
      </c>
      <c r="E18" s="1" t="n">
        <v>3.5</v>
      </c>
      <c r="F18" s="1" t="n">
        <f aca="false">(E17/(D18/30))/1000</f>
        <v>0.000533333333333333</v>
      </c>
      <c r="G18" s="1" t="n">
        <v>91.08</v>
      </c>
      <c r="H18" s="1" t="n">
        <f aca="false">(G17/(D18/30))/1000</f>
        <v>0.0300633333333333</v>
      </c>
      <c r="I18" s="1" t="n">
        <v>28.04</v>
      </c>
      <c r="J18" s="1" t="n">
        <v>30.45</v>
      </c>
      <c r="K18" s="1" t="n">
        <v>2</v>
      </c>
      <c r="L18" s="1" t="n">
        <v>7</v>
      </c>
    </row>
    <row r="19" customFormat="false" ht="13.8" hidden="false" customHeight="false" outlineLevel="0" collapsed="false">
      <c r="B19" s="1" t="n">
        <v>1661</v>
      </c>
      <c r="C19" s="1" t="n">
        <v>1761</v>
      </c>
      <c r="D19" s="1" t="n">
        <f aca="false">C19-B19</f>
        <v>100</v>
      </c>
      <c r="E19" s="1" t="n">
        <v>2.86</v>
      </c>
      <c r="F19" s="1" t="n">
        <f aca="false">(E18/(D19/30))/1000</f>
        <v>0.00105</v>
      </c>
      <c r="G19" s="1" t="n">
        <v>79.91</v>
      </c>
      <c r="H19" s="1" t="n">
        <f aca="false">(G18/(D19/30))/1000</f>
        <v>0.027324</v>
      </c>
      <c r="I19" s="1" t="n">
        <v>34.54</v>
      </c>
      <c r="J19" s="1" t="n">
        <v>43.41</v>
      </c>
      <c r="K19" s="1" t="n">
        <v>1</v>
      </c>
      <c r="L19" s="1" t="n">
        <v>8</v>
      </c>
    </row>
    <row r="20" customFormat="false" ht="13.8" hidden="false" customHeight="false" outlineLevel="0" collapsed="false">
      <c r="B20" s="1" t="n">
        <v>2661</v>
      </c>
      <c r="C20" s="1" t="n">
        <v>2801</v>
      </c>
      <c r="D20" s="1" t="n">
        <f aca="false">C20-B20</f>
        <v>140</v>
      </c>
      <c r="E20" s="1" t="n">
        <v>1.41</v>
      </c>
      <c r="F20" s="1" t="n">
        <f aca="false">(E19/(D20/30))/1000</f>
        <v>0.000612857142857143</v>
      </c>
      <c r="G20" s="1" t="n">
        <v>168</v>
      </c>
      <c r="H20" s="1" t="n">
        <f aca="false">(G19/(D20/30))/1000</f>
        <v>0.0171235714285714</v>
      </c>
      <c r="I20" s="1" t="n">
        <v>41.84</v>
      </c>
      <c r="J20" s="1" t="n">
        <v>26.09</v>
      </c>
      <c r="K20" s="1" t="n">
        <v>2</v>
      </c>
      <c r="L20" s="1" t="n">
        <v>8</v>
      </c>
    </row>
    <row r="21" customFormat="false" ht="13.8" hidden="false" customHeight="false" outlineLevel="0" collapsed="false">
      <c r="B21" s="1" t="n">
        <v>2881</v>
      </c>
      <c r="C21" s="1" t="n">
        <v>3031</v>
      </c>
      <c r="D21" s="1" t="n">
        <f aca="false">C21-B21</f>
        <v>150</v>
      </c>
      <c r="E21" s="1" t="n">
        <v>15.13</v>
      </c>
      <c r="F21" s="1" t="n">
        <f aca="false">(E20/(D21/30))/1000</f>
        <v>0.000282</v>
      </c>
      <c r="G21" s="1" t="n">
        <v>156.5</v>
      </c>
      <c r="H21" s="1" t="n">
        <f aca="false">(G20/(D21/30))/1000</f>
        <v>0.0336</v>
      </c>
      <c r="I21" s="1" t="n">
        <v>28.75</v>
      </c>
      <c r="J21" s="1" t="n">
        <v>27.97</v>
      </c>
      <c r="K21" s="1" t="n">
        <v>1</v>
      </c>
      <c r="L21" s="1" t="n">
        <v>9</v>
      </c>
    </row>
    <row r="22" customFormat="false" ht="13.8" hidden="false" customHeight="false" outlineLevel="0" collapsed="false">
      <c r="B22" s="1" t="n">
        <v>3032</v>
      </c>
      <c r="C22" s="1" t="n">
        <v>3101</v>
      </c>
      <c r="D22" s="1" t="n">
        <f aca="false">C22-B22</f>
        <v>69</v>
      </c>
      <c r="E22" s="1" t="n">
        <v>1.66</v>
      </c>
      <c r="F22" s="1" t="n">
        <f aca="false">(E21/(D22/30))/1000</f>
        <v>0.00657826086956522</v>
      </c>
      <c r="G22" s="1" t="n">
        <v>128</v>
      </c>
      <c r="H22" s="1" t="n">
        <f aca="false">(G21/(D22/30))/1000</f>
        <v>0.0680434782608696</v>
      </c>
      <c r="I22" s="1" t="n">
        <v>23.09</v>
      </c>
      <c r="J22" s="1" t="n">
        <v>19.51</v>
      </c>
      <c r="K22" s="1" t="n">
        <v>2</v>
      </c>
      <c r="L22" s="1" t="n">
        <v>9</v>
      </c>
    </row>
    <row r="23" customFormat="false" ht="13.8" hidden="false" customHeight="false" outlineLevel="0" collapsed="false">
      <c r="B23" s="1" t="n">
        <v>3111</v>
      </c>
      <c r="C23" s="1" t="n">
        <v>3241</v>
      </c>
      <c r="D23" s="1" t="n">
        <f aca="false">C23-B23</f>
        <v>130</v>
      </c>
      <c r="E23" s="1" t="n">
        <v>18.79</v>
      </c>
      <c r="F23" s="1" t="n">
        <f aca="false">(E22/(D23/30))/1000</f>
        <v>0.000383076923076923</v>
      </c>
      <c r="G23" s="1" t="n">
        <v>270.38</v>
      </c>
      <c r="H23" s="1" t="n">
        <f aca="false">(G22/(D23/30))/1000</f>
        <v>0.0295384615384615</v>
      </c>
      <c r="I23" s="1" t="n">
        <v>42.64</v>
      </c>
      <c r="J23" s="1" t="n">
        <v>40.14</v>
      </c>
      <c r="K23" s="1" t="n">
        <v>1</v>
      </c>
      <c r="L23" s="1" t="n">
        <v>10</v>
      </c>
    </row>
    <row r="24" customFormat="false" ht="13.8" hidden="false" customHeight="false" outlineLevel="0" collapsed="false">
      <c r="B24" s="1" t="n">
        <v>3251</v>
      </c>
      <c r="C24" s="1" t="n">
        <v>3371</v>
      </c>
      <c r="D24" s="1" t="n">
        <f aca="false">C24-B24</f>
        <v>120</v>
      </c>
      <c r="E24" s="1" t="n">
        <v>4.58</v>
      </c>
      <c r="F24" s="1" t="n">
        <f aca="false">(E23/(D24/30))/1000</f>
        <v>0.0046975</v>
      </c>
      <c r="G24" s="1" t="n">
        <v>256.02</v>
      </c>
      <c r="H24" s="1" t="n">
        <f aca="false">(G23/(D24/30))/1000</f>
        <v>0.067595</v>
      </c>
      <c r="I24" s="1" t="n">
        <v>41.76</v>
      </c>
      <c r="J24" s="1" t="n">
        <v>34.77</v>
      </c>
      <c r="K24" s="1" t="n">
        <v>2</v>
      </c>
      <c r="L24" s="1" t="n">
        <v>10</v>
      </c>
    </row>
    <row r="25" customFormat="false" ht="13.8" hidden="false" customHeight="false" outlineLevel="0" collapsed="false">
      <c r="B25" s="1" t="n">
        <v>3381</v>
      </c>
      <c r="C25" s="1" t="n">
        <v>3521</v>
      </c>
      <c r="D25" s="1" t="n">
        <f aca="false">C25-B25</f>
        <v>140</v>
      </c>
      <c r="E25" s="1" t="n">
        <v>4.51</v>
      </c>
      <c r="F25" s="1" t="n">
        <f aca="false">(E24/(D25/30))/1000</f>
        <v>0.000981428571428572</v>
      </c>
      <c r="G25" s="1" t="n">
        <v>263.07</v>
      </c>
      <c r="H25" s="1" t="n">
        <f aca="false">(G24/(D25/30))/1000</f>
        <v>0.0548614285714286</v>
      </c>
      <c r="I25" s="1" t="n">
        <v>32.96</v>
      </c>
      <c r="J25" s="1" t="n">
        <v>42.97</v>
      </c>
      <c r="K25" s="1" t="n">
        <v>1</v>
      </c>
      <c r="L25" s="1" t="n">
        <v>11</v>
      </c>
    </row>
    <row r="26" customFormat="false" ht="13.8" hidden="false" customHeight="false" outlineLevel="0" collapsed="false">
      <c r="B26" s="1" t="n">
        <v>3761</v>
      </c>
      <c r="C26" s="1" t="n">
        <v>3841</v>
      </c>
      <c r="D26" s="1" t="n">
        <f aca="false">C26-B26</f>
        <v>80</v>
      </c>
      <c r="E26" s="5" t="n">
        <v>1.98</v>
      </c>
      <c r="F26" s="1" t="n">
        <f aca="false">(E25/(D26/30))/1000</f>
        <v>0.00169125</v>
      </c>
      <c r="G26" s="5" t="n">
        <v>195.99</v>
      </c>
      <c r="H26" s="1" t="n">
        <f aca="false">(G25/(D26/30))/1000</f>
        <v>0.09865125</v>
      </c>
      <c r="I26" s="5" t="n">
        <v>32.58</v>
      </c>
      <c r="J26" s="5" t="n">
        <v>28.05</v>
      </c>
      <c r="K26" s="1" t="n">
        <v>2</v>
      </c>
      <c r="L26" s="1" t="n">
        <v>11</v>
      </c>
    </row>
    <row r="28" customFormat="false" ht="15" hidden="false" customHeight="false" outlineLevel="0" collapsed="false">
      <c r="B28" s="2" t="s">
        <v>39</v>
      </c>
      <c r="C28" s="2"/>
      <c r="D28" s="2"/>
      <c r="E28" s="3" t="n">
        <f aca="false">MAX(F5:F26)</f>
        <v>0.01362</v>
      </c>
      <c r="G28" s="3" t="s">
        <v>40</v>
      </c>
      <c r="H28" s="3" t="n">
        <f aca="false">MAX(I5:I26)</f>
        <v>48.57</v>
      </c>
    </row>
    <row r="29" customFormat="false" ht="15" hidden="false" customHeight="false" outlineLevel="0" collapsed="false">
      <c r="B29" s="2" t="s">
        <v>41</v>
      </c>
      <c r="C29" s="2"/>
      <c r="D29" s="2"/>
      <c r="E29" s="3" t="n">
        <f aca="false">MIN(F5:F26)</f>
        <v>0.000282</v>
      </c>
      <c r="G29" s="3" t="s">
        <v>42</v>
      </c>
      <c r="H29" s="3" t="n">
        <f aca="false">MIN(I5:I26)</f>
        <v>5.27</v>
      </c>
    </row>
    <row r="30" customFormat="false" ht="15" hidden="false" customHeight="false" outlineLevel="0" collapsed="false">
      <c r="B30" s="2" t="s">
        <v>43</v>
      </c>
      <c r="C30" s="2"/>
      <c r="D30" s="2"/>
      <c r="E30" s="3" t="n">
        <f aca="false">AVERAGE(F5:F26)</f>
        <v>0.00301398798691405</v>
      </c>
      <c r="G30" s="3" t="s">
        <v>44</v>
      </c>
      <c r="H30" s="3" t="n">
        <f aca="false">AVERAGE(I5:I26)</f>
        <v>31.5204545454545</v>
      </c>
    </row>
    <row r="31" customFormat="false" ht="15" hidden="false" customHeight="false" outlineLevel="0" collapsed="false">
      <c r="B31" s="2" t="s">
        <v>45</v>
      </c>
      <c r="C31" s="2"/>
      <c r="D31" s="2"/>
      <c r="E31" s="3" t="n">
        <f aca="false">AVERAGE(E5:E26)</f>
        <v>7.72772727272727</v>
      </c>
    </row>
    <row r="32" customFormat="false" ht="15" hidden="false" customHeight="false" outlineLevel="0" collapsed="false">
      <c r="B32" s="4"/>
      <c r="C32" s="4"/>
      <c r="D32" s="4"/>
    </row>
    <row r="33" customFormat="false" ht="15" hidden="false" customHeight="false" outlineLevel="0" collapsed="false">
      <c r="B33" s="2" t="s">
        <v>46</v>
      </c>
      <c r="C33" s="2"/>
      <c r="D33" s="2"/>
      <c r="E33" s="3" t="n">
        <f aca="false">MAX(H5:H26)</f>
        <v>0.09865125</v>
      </c>
      <c r="G33" s="3" t="s">
        <v>47</v>
      </c>
      <c r="H33" s="3" t="n">
        <f aca="false">MAX(J5:J26)</f>
        <v>43.41</v>
      </c>
    </row>
    <row r="34" customFormat="false" ht="15" hidden="false" customHeight="false" outlineLevel="0" collapsed="false">
      <c r="B34" s="2" t="s">
        <v>48</v>
      </c>
      <c r="C34" s="2"/>
      <c r="D34" s="2"/>
      <c r="E34" s="3" t="n">
        <f aca="false">MIN(H5:H26)</f>
        <v>0.0171235714285714</v>
      </c>
      <c r="G34" s="3" t="s">
        <v>49</v>
      </c>
      <c r="H34" s="3" t="n">
        <f aca="false">MIN(J5:J26)</f>
        <v>13.46</v>
      </c>
    </row>
    <row r="35" customFormat="false" ht="15" hidden="false" customHeight="false" outlineLevel="0" collapsed="false">
      <c r="B35" s="2" t="s">
        <v>50</v>
      </c>
      <c r="C35" s="2"/>
      <c r="D35" s="2"/>
      <c r="E35" s="3" t="n">
        <f aca="false">AVERAGE(H5:H26)</f>
        <v>0.0432211067707052</v>
      </c>
      <c r="G35" s="3" t="s">
        <v>51</v>
      </c>
      <c r="H35" s="3" t="n">
        <f aca="false">AVERAGE(J5:J26)</f>
        <v>27.695</v>
      </c>
    </row>
    <row r="36" customFormat="false" ht="15" hidden="false" customHeight="false" outlineLevel="0" collapsed="false">
      <c r="B36" s="2" t="s">
        <v>53</v>
      </c>
      <c r="C36" s="2"/>
      <c r="D36" s="2"/>
      <c r="E36" s="3" t="n">
        <f aca="false">AVERAGE(G5:G26)</f>
        <v>143.63</v>
      </c>
    </row>
  </sheetData>
  <mergeCells count="8">
    <mergeCell ref="B28:D28"/>
    <mergeCell ref="B29:D29"/>
    <mergeCell ref="B30:D30"/>
    <mergeCell ref="B31:D31"/>
    <mergeCell ref="B33:D33"/>
    <mergeCell ref="B34:D34"/>
    <mergeCell ref="B35:D35"/>
    <mergeCell ref="B36:D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0.57"/>
    <col collapsed="false" customWidth="true" hidden="false" outlineLevel="0" max="3" min="3" style="0" width="9.57"/>
    <col collapsed="false" customWidth="true" hidden="false" outlineLevel="0" max="4" min="4" style="0" width="11.71"/>
    <col collapsed="false" customWidth="true" hidden="false" outlineLevel="0" max="5" min="5" style="0" width="25.28"/>
    <col collapsed="false" customWidth="true" hidden="false" outlineLevel="0" max="6" min="6" style="0" width="21.85"/>
    <col collapsed="false" customWidth="true" hidden="false" outlineLevel="0" max="7" min="7" style="0" width="25.15"/>
    <col collapsed="false" customWidth="true" hidden="false" outlineLevel="0" max="8" min="8" style="0" width="21.15"/>
    <col collapsed="false" customWidth="true" hidden="false" outlineLevel="0" max="9" min="9" style="0" width="10.71"/>
    <col collapsed="false" customWidth="true" hidden="false" outlineLevel="0" max="10" min="10" style="0" width="11.57"/>
  </cols>
  <sheetData>
    <row r="2" customFormat="false" ht="15" hidden="false" customHeight="false" outlineLevel="0" collapsed="false">
      <c r="B2" s="0" t="s">
        <v>55</v>
      </c>
    </row>
    <row r="4" customFormat="false" ht="15" hidden="false" customHeight="false" outlineLevel="0" collapsed="false">
      <c r="B4" s="1" t="s">
        <v>1</v>
      </c>
      <c r="C4" s="1" t="s">
        <v>2</v>
      </c>
      <c r="D4" s="1" t="s">
        <v>3</v>
      </c>
      <c r="E4" s="1" t="s">
        <v>5</v>
      </c>
      <c r="F4" s="1" t="s">
        <v>6</v>
      </c>
      <c r="G4" s="1" t="s">
        <v>8</v>
      </c>
      <c r="H4" s="1" t="s">
        <v>9</v>
      </c>
      <c r="I4" s="1" t="s">
        <v>10</v>
      </c>
      <c r="J4" s="1" t="s">
        <v>12</v>
      </c>
      <c r="K4" s="1" t="s">
        <v>14</v>
      </c>
      <c r="L4" s="1" t="s">
        <v>15</v>
      </c>
    </row>
    <row r="5" customFormat="false" ht="15" hidden="false" customHeight="false" outlineLevel="0" collapsed="false">
      <c r="B5" s="1" t="n">
        <v>1</v>
      </c>
      <c r="C5" s="1" t="n">
        <v>200</v>
      </c>
      <c r="D5" s="1" t="n">
        <f aca="false">C5-B5</f>
        <v>199</v>
      </c>
      <c r="E5" s="1" t="n">
        <v>254.71</v>
      </c>
      <c r="F5" s="1" t="n">
        <f aca="false">(E5/(D5/30))/1000</f>
        <v>0.0383984924623116</v>
      </c>
      <c r="G5" s="1" t="n">
        <v>318.41</v>
      </c>
      <c r="H5" s="1" t="n">
        <f aca="false">(G5/(D5/30))/1000</f>
        <v>0.0480015075376884</v>
      </c>
      <c r="I5" s="1" t="n">
        <v>81.57</v>
      </c>
      <c r="J5" s="1" t="n">
        <v>113.41</v>
      </c>
      <c r="K5" s="1" t="n">
        <v>1</v>
      </c>
      <c r="L5" s="1" t="n">
        <v>1</v>
      </c>
    </row>
    <row r="6" customFormat="false" ht="15" hidden="false" customHeight="false" outlineLevel="0" collapsed="false">
      <c r="B6" s="1" t="n">
        <v>201</v>
      </c>
      <c r="C6" s="1" t="n">
        <v>480</v>
      </c>
      <c r="D6" s="1" t="n">
        <f aca="false">C6-B6</f>
        <v>279</v>
      </c>
      <c r="E6" s="5" t="n">
        <v>311.47</v>
      </c>
      <c r="F6" s="1" t="n">
        <f aca="false">(E6/(D6/30))/1000</f>
        <v>0.0334913978494624</v>
      </c>
      <c r="G6" s="1" t="n">
        <v>162.09</v>
      </c>
      <c r="H6" s="1" t="n">
        <f aca="false">(G6/(D6/30))/1000</f>
        <v>0.0174290322580645</v>
      </c>
      <c r="I6" s="1" t="n">
        <v>81.59</v>
      </c>
      <c r="J6" s="1" t="n">
        <v>79.51</v>
      </c>
      <c r="K6" s="1" t="n">
        <v>2</v>
      </c>
      <c r="L6" s="1" t="n">
        <v>1</v>
      </c>
    </row>
    <row r="7" customFormat="false" ht="15" hidden="false" customHeight="false" outlineLevel="0" collapsed="false">
      <c r="B7" s="1" t="n">
        <v>481</v>
      </c>
      <c r="C7" s="1" t="n">
        <v>670</v>
      </c>
      <c r="D7" s="1" t="n">
        <f aca="false">C7-B7</f>
        <v>189</v>
      </c>
      <c r="E7" s="1" t="n">
        <v>252.84</v>
      </c>
      <c r="F7" s="1" t="n">
        <f aca="false">(E7/(D7/30))/1000</f>
        <v>0.0401333333333333</v>
      </c>
      <c r="G7" s="1" t="n">
        <v>223.62</v>
      </c>
      <c r="H7" s="1" t="n">
        <f aca="false">(G7/(D7/30))/1000</f>
        <v>0.0354952380952381</v>
      </c>
      <c r="I7" s="1" t="n">
        <v>78.04</v>
      </c>
      <c r="J7" s="1" t="n">
        <v>94.85</v>
      </c>
      <c r="K7" s="1" t="n">
        <v>1</v>
      </c>
      <c r="L7" s="1" t="n">
        <v>2</v>
      </c>
    </row>
    <row r="8" customFormat="false" ht="15" hidden="false" customHeight="false" outlineLevel="0" collapsed="false">
      <c r="B8" s="1" t="n">
        <v>671</v>
      </c>
      <c r="C8" s="1" t="n">
        <v>900</v>
      </c>
      <c r="D8" s="1" t="n">
        <f aca="false">C8-B8</f>
        <v>229</v>
      </c>
      <c r="E8" s="1" t="n">
        <v>279.73</v>
      </c>
      <c r="F8" s="1" t="n">
        <f aca="false">(E8/(D8/30))/1000</f>
        <v>0.0366458515283843</v>
      </c>
      <c r="G8" s="1" t="n">
        <v>138.1</v>
      </c>
      <c r="H8" s="1" t="n">
        <f aca="false">(G8/(D8/30))/1000</f>
        <v>0.0180917030567686</v>
      </c>
      <c r="I8" s="1" t="n">
        <v>74.7</v>
      </c>
      <c r="J8" s="1" t="n">
        <v>74.62</v>
      </c>
      <c r="K8" s="1" t="n">
        <v>2</v>
      </c>
      <c r="L8" s="1" t="n">
        <v>2</v>
      </c>
    </row>
    <row r="9" customFormat="false" ht="15" hidden="false" customHeight="false" outlineLevel="0" collapsed="false">
      <c r="B9" s="1" t="n">
        <v>901</v>
      </c>
      <c r="C9" s="1" t="n">
        <v>1120</v>
      </c>
      <c r="D9" s="1" t="n">
        <f aca="false">C9-B9</f>
        <v>219</v>
      </c>
      <c r="E9" s="1" t="n">
        <v>150.57</v>
      </c>
      <c r="F9" s="1" t="n">
        <f aca="false">(E9/(D9/30))/1000</f>
        <v>0.0206260273972603</v>
      </c>
      <c r="G9" s="1" t="n">
        <v>226.36</v>
      </c>
      <c r="H9" s="1" t="n">
        <f aca="false">(G9/(D9/30))/1000</f>
        <v>0.0310082191780822</v>
      </c>
      <c r="I9" s="1" t="n">
        <v>46.82</v>
      </c>
      <c r="J9" s="1" t="n">
        <v>96.07</v>
      </c>
      <c r="K9" s="1" t="n">
        <v>1</v>
      </c>
      <c r="L9" s="1" t="n">
        <v>3</v>
      </c>
    </row>
    <row r="10" customFormat="false" ht="15" hidden="false" customHeight="false" outlineLevel="0" collapsed="false">
      <c r="B10" s="1" t="n">
        <v>1121</v>
      </c>
      <c r="C10" s="1" t="n">
        <v>1320</v>
      </c>
      <c r="D10" s="1" t="n">
        <f aca="false">C10-B10</f>
        <v>199</v>
      </c>
      <c r="E10" s="1" t="n">
        <v>159.22</v>
      </c>
      <c r="F10" s="1" t="n">
        <f aca="false">(E10/(D10/30))/1000</f>
        <v>0.0240030150753769</v>
      </c>
      <c r="G10" s="1" t="n">
        <v>168.63</v>
      </c>
      <c r="H10" s="1" t="n">
        <f aca="false">(G10/(D10/30))/1000</f>
        <v>0.025421608040201</v>
      </c>
      <c r="I10" s="1" t="n">
        <v>41.94</v>
      </c>
      <c r="J10" s="1" t="n">
        <v>79.89</v>
      </c>
      <c r="K10" s="1" t="n">
        <v>2</v>
      </c>
      <c r="L10" s="1" t="n">
        <v>3</v>
      </c>
    </row>
    <row r="11" customFormat="false" ht="15" hidden="false" customHeight="false" outlineLevel="0" collapsed="false">
      <c r="B11" s="1" t="n">
        <v>1321</v>
      </c>
      <c r="C11" s="1" t="n">
        <v>1460</v>
      </c>
      <c r="D11" s="1" t="n">
        <f aca="false">C11-B11</f>
        <v>139</v>
      </c>
      <c r="E11" s="1" t="n">
        <v>140.64</v>
      </c>
      <c r="F11" s="1" t="n">
        <f aca="false">(E11/(D11/30))/1000</f>
        <v>0.0303539568345324</v>
      </c>
      <c r="G11" s="1" t="s">
        <v>37</v>
      </c>
      <c r="H11" s="1"/>
      <c r="I11" s="1" t="n">
        <v>20.18</v>
      </c>
      <c r="J11" s="1" t="s">
        <v>37</v>
      </c>
      <c r="K11" s="1" t="n">
        <v>1</v>
      </c>
      <c r="L11" s="1" t="n">
        <v>4</v>
      </c>
    </row>
    <row r="12" customFormat="false" ht="15" hidden="false" customHeight="false" outlineLevel="0" collapsed="false">
      <c r="B12" s="1" t="n">
        <v>1461</v>
      </c>
      <c r="C12" s="1" t="n">
        <v>1720</v>
      </c>
      <c r="D12" s="1" t="n">
        <f aca="false">C12-B12</f>
        <v>259</v>
      </c>
      <c r="E12" s="1" t="n">
        <v>155.98</v>
      </c>
      <c r="F12" s="1" t="n">
        <f aca="false">(E12/(D12/30))/1000</f>
        <v>0.0180671814671815</v>
      </c>
      <c r="G12" s="1" t="s">
        <v>37</v>
      </c>
      <c r="H12" s="1"/>
      <c r="I12" s="1" t="n">
        <v>42.05</v>
      </c>
      <c r="J12" s="1" t="s">
        <v>37</v>
      </c>
      <c r="K12" s="1" t="n">
        <v>2</v>
      </c>
      <c r="L12" s="1" t="n">
        <v>4</v>
      </c>
    </row>
    <row r="13" customFormat="false" ht="15" hidden="false" customHeight="false" outlineLevel="0" collapsed="false">
      <c r="B13" s="1" t="n">
        <v>1721</v>
      </c>
      <c r="C13" s="1" t="n">
        <v>1950</v>
      </c>
      <c r="D13" s="1" t="n">
        <f aca="false">C13-B13</f>
        <v>229</v>
      </c>
      <c r="E13" s="1" t="n">
        <v>65.41</v>
      </c>
      <c r="F13" s="1" t="n">
        <f aca="false">(E13/(D13/30))/1000</f>
        <v>0.00856899563318777</v>
      </c>
      <c r="G13" s="1" t="n">
        <v>354.55</v>
      </c>
      <c r="H13" s="1" t="n">
        <f aca="false">(G13/(D13/30))/1000</f>
        <v>0.0464475982532751</v>
      </c>
      <c r="I13" s="1" t="n">
        <v>31.34</v>
      </c>
      <c r="J13" s="1" t="s">
        <v>37</v>
      </c>
      <c r="K13" s="1" t="n">
        <v>1</v>
      </c>
      <c r="L13" s="1" t="n">
        <v>5</v>
      </c>
    </row>
    <row r="14" customFormat="false" ht="15" hidden="false" customHeight="false" outlineLevel="0" collapsed="false">
      <c r="B14" s="1" t="n">
        <v>1951</v>
      </c>
      <c r="C14" s="1" t="n">
        <v>2150</v>
      </c>
      <c r="D14" s="1" t="n">
        <f aca="false">C14-B14</f>
        <v>199</v>
      </c>
      <c r="E14" s="1" t="s">
        <v>37</v>
      </c>
      <c r="F14" s="1"/>
      <c r="G14" s="1" t="n">
        <v>185.15</v>
      </c>
      <c r="H14" s="1" t="n">
        <f aca="false">(G14/(D14/30))/1000</f>
        <v>0.0279120603015075</v>
      </c>
      <c r="I14" s="1" t="s">
        <v>37</v>
      </c>
      <c r="J14" s="1" t="n">
        <v>79.33</v>
      </c>
      <c r="K14" s="1" t="n">
        <v>2</v>
      </c>
      <c r="L14" s="1" t="n">
        <v>5</v>
      </c>
    </row>
    <row r="15" customFormat="false" ht="15" hidden="false" customHeight="false" outlineLevel="0" collapsed="false">
      <c r="B15" s="1" t="n">
        <v>2151</v>
      </c>
      <c r="C15" s="1" t="n">
        <v>2340</v>
      </c>
      <c r="D15" s="1" t="n">
        <f aca="false">C15-B15</f>
        <v>189</v>
      </c>
      <c r="E15" s="1" t="s">
        <v>37</v>
      </c>
      <c r="F15" s="1"/>
      <c r="G15" s="1" t="n">
        <v>215.15</v>
      </c>
      <c r="H15" s="1" t="n">
        <f aca="false">(G15/(D15/30))/1000</f>
        <v>0.0341507936507937</v>
      </c>
      <c r="I15" s="1" t="s">
        <v>37</v>
      </c>
      <c r="J15" s="1" t="n">
        <v>88.44</v>
      </c>
      <c r="K15" s="1" t="n">
        <v>1</v>
      </c>
      <c r="L15" s="1" t="n">
        <v>6</v>
      </c>
    </row>
    <row r="16" customFormat="false" ht="15" hidden="false" customHeight="false" outlineLevel="0" collapsed="false">
      <c r="B16" s="1" t="n">
        <v>2341</v>
      </c>
      <c r="C16" s="1" t="n">
        <v>2580</v>
      </c>
      <c r="D16" s="1" t="n">
        <f aca="false">C16-B16</f>
        <v>239</v>
      </c>
      <c r="E16" s="1" t="n">
        <v>102.8</v>
      </c>
      <c r="F16" s="1" t="n">
        <f aca="false">(E16/(D16/30))/1000</f>
        <v>0.0129037656903766</v>
      </c>
      <c r="G16" s="1" t="n">
        <v>198.39</v>
      </c>
      <c r="H16" s="1" t="n">
        <f aca="false">(G16/(D16/30))/1000</f>
        <v>0.024902510460251</v>
      </c>
      <c r="I16" s="1" t="n">
        <v>60.42</v>
      </c>
      <c r="J16" s="1" t="n">
        <v>80.04</v>
      </c>
      <c r="K16" s="1" t="n">
        <v>2</v>
      </c>
      <c r="L16" s="1" t="n">
        <v>6</v>
      </c>
    </row>
    <row r="17" customFormat="false" ht="15" hidden="false" customHeight="false" outlineLevel="0" collapsed="false">
      <c r="B17" s="1" t="n">
        <v>2581</v>
      </c>
      <c r="C17" s="1" t="n">
        <v>2730</v>
      </c>
      <c r="D17" s="1" t="n">
        <f aca="false">C17-B17</f>
        <v>149</v>
      </c>
      <c r="E17" s="1" t="n">
        <v>134.78</v>
      </c>
      <c r="F17" s="1" t="n">
        <f aca="false">(E17/(D17/30))/1000</f>
        <v>0.0271369127516778</v>
      </c>
      <c r="G17" s="1" t="n">
        <v>187.76</v>
      </c>
      <c r="H17" s="1" t="n">
        <f aca="false">(G17/(D17/30))/1000</f>
        <v>0.0378040268456376</v>
      </c>
      <c r="I17" s="1" t="n">
        <v>177.73</v>
      </c>
      <c r="J17" s="1" t="n">
        <v>75.52</v>
      </c>
      <c r="K17" s="1" t="n">
        <v>1</v>
      </c>
      <c r="L17" s="1" t="n">
        <v>7</v>
      </c>
    </row>
    <row r="18" customFormat="false" ht="15" hidden="false" customHeight="false" outlineLevel="0" collapsed="false">
      <c r="B18" s="1" t="n">
        <v>2731</v>
      </c>
      <c r="C18" s="1" t="n">
        <v>2930</v>
      </c>
      <c r="D18" s="1" t="n">
        <f aca="false">C18-B18</f>
        <v>199</v>
      </c>
      <c r="E18" s="1" t="n">
        <v>145.85</v>
      </c>
      <c r="F18" s="1" t="n">
        <f aca="false">(E18/(D18/30))/1000</f>
        <v>0.0219874371859296</v>
      </c>
      <c r="G18" s="1" t="n">
        <v>160.01</v>
      </c>
      <c r="H18" s="1" t="n">
        <f aca="false">(G18/(D18/30))/1000</f>
        <v>0.0241221105527638</v>
      </c>
      <c r="I18" s="1" t="n">
        <v>166.91</v>
      </c>
      <c r="J18" s="1" t="n">
        <v>63.01</v>
      </c>
      <c r="K18" s="1" t="n">
        <v>2</v>
      </c>
      <c r="L18" s="1" t="n">
        <v>7</v>
      </c>
    </row>
    <row r="19" customFormat="false" ht="15" hidden="false" customHeight="false" outlineLevel="0" collapsed="false">
      <c r="B19" s="1" t="n">
        <v>2931</v>
      </c>
      <c r="C19" s="1" t="n">
        <v>3080</v>
      </c>
      <c r="D19" s="1" t="n">
        <f aca="false">C19-B19</f>
        <v>149</v>
      </c>
      <c r="E19" s="1" t="s">
        <v>37</v>
      </c>
      <c r="F19" s="1"/>
      <c r="G19" s="1" t="n">
        <v>180.14</v>
      </c>
      <c r="H19" s="1" t="n">
        <f aca="false">(G19/(D19/30))/1000</f>
        <v>0.0362697986577181</v>
      </c>
      <c r="I19" s="1" t="s">
        <v>37</v>
      </c>
      <c r="J19" s="1" t="n">
        <v>76.18</v>
      </c>
      <c r="K19" s="1" t="n">
        <v>1</v>
      </c>
      <c r="L19" s="1" t="n">
        <v>8</v>
      </c>
    </row>
    <row r="20" customFormat="false" ht="15" hidden="false" customHeight="false" outlineLevel="0" collapsed="false">
      <c r="B20" s="1" t="n">
        <v>3081</v>
      </c>
      <c r="C20" s="1" t="n">
        <v>3320</v>
      </c>
      <c r="D20" s="1" t="n">
        <f aca="false">C20-B20</f>
        <v>239</v>
      </c>
      <c r="E20" s="1" t="s">
        <v>37</v>
      </c>
      <c r="F20" s="1"/>
      <c r="G20" s="1" t="n">
        <v>219.54</v>
      </c>
      <c r="H20" s="1" t="n">
        <f aca="false">(G20/(D20/30))/1000</f>
        <v>0.0275573221757322</v>
      </c>
      <c r="I20" s="1" t="s">
        <v>37</v>
      </c>
      <c r="J20" s="1" t="n">
        <v>88.52</v>
      </c>
      <c r="K20" s="1" t="n">
        <v>2</v>
      </c>
      <c r="L20" s="1" t="n">
        <v>8</v>
      </c>
    </row>
    <row r="21" customFormat="false" ht="15" hidden="false" customHeight="false" outlineLevel="0" collapsed="false">
      <c r="B21" s="1" t="n">
        <v>3321</v>
      </c>
      <c r="C21" s="1" t="n">
        <v>3520</v>
      </c>
      <c r="D21" s="1" t="n">
        <f aca="false">C21-B21</f>
        <v>199</v>
      </c>
      <c r="E21" s="1" t="s">
        <v>37</v>
      </c>
      <c r="F21" s="1"/>
      <c r="G21" s="1" t="n">
        <v>207.06</v>
      </c>
      <c r="H21" s="1" t="n">
        <f aca="false">(G21/(D21/30))/1000</f>
        <v>0.0312150753768844</v>
      </c>
      <c r="I21" s="1" t="s">
        <v>37</v>
      </c>
      <c r="J21" s="1" t="n">
        <v>107.1</v>
      </c>
      <c r="K21" s="1" t="n">
        <v>1</v>
      </c>
      <c r="L21" s="1" t="n">
        <v>9</v>
      </c>
    </row>
    <row r="22" customFormat="false" ht="15" hidden="false" customHeight="false" outlineLevel="0" collapsed="false">
      <c r="B22" s="1" t="n">
        <v>3521</v>
      </c>
      <c r="C22" s="1" t="n">
        <v>3720</v>
      </c>
      <c r="D22" s="1" t="n">
        <f aca="false">C22-B22</f>
        <v>199</v>
      </c>
      <c r="E22" s="1" t="s">
        <v>37</v>
      </c>
      <c r="F22" s="1"/>
      <c r="G22" s="1" t="n">
        <v>171.31</v>
      </c>
      <c r="H22" s="1" t="n">
        <f aca="false">(G22/(D22/30))/1000</f>
        <v>0.0258256281407035</v>
      </c>
      <c r="I22" s="1" t="s">
        <v>37</v>
      </c>
      <c r="J22" s="1" t="n">
        <v>71.92</v>
      </c>
      <c r="K22" s="1" t="n">
        <v>2</v>
      </c>
      <c r="L22" s="1" t="n">
        <v>9</v>
      </c>
    </row>
    <row r="23" customFormat="false" ht="15" hidden="false" customHeight="false" outlineLevel="0" collapsed="false">
      <c r="B23" s="1" t="n">
        <v>3721</v>
      </c>
      <c r="C23" s="1" t="n">
        <v>3860</v>
      </c>
      <c r="D23" s="1" t="n">
        <f aca="false">C23-B23</f>
        <v>139</v>
      </c>
      <c r="E23" s="1" t="s">
        <v>37</v>
      </c>
      <c r="F23" s="1"/>
      <c r="G23" s="1" t="n">
        <v>141.31</v>
      </c>
      <c r="H23" s="1" t="n">
        <f aca="false">(G23/(D23/30))/1000</f>
        <v>0.0304985611510791</v>
      </c>
      <c r="I23" s="1" t="s">
        <v>37</v>
      </c>
      <c r="J23" s="1" t="n">
        <v>66.91</v>
      </c>
      <c r="K23" s="1" t="n">
        <v>1</v>
      </c>
      <c r="L23" s="1" t="n">
        <v>10</v>
      </c>
    </row>
    <row r="24" customFormat="false" ht="15" hidden="false" customHeight="false" outlineLevel="0" collapsed="false">
      <c r="B24" s="1" t="n">
        <v>3861</v>
      </c>
      <c r="C24" s="1" t="n">
        <v>4070</v>
      </c>
      <c r="D24" s="1" t="n">
        <f aca="false">C24-B24</f>
        <v>209</v>
      </c>
      <c r="E24" s="1" t="s">
        <v>37</v>
      </c>
      <c r="F24" s="1"/>
      <c r="G24" s="1" t="n">
        <v>216.48</v>
      </c>
      <c r="H24" s="1" t="n">
        <f aca="false">(G24/(D24/30))/1000</f>
        <v>0.0310736842105263</v>
      </c>
      <c r="I24" s="1" t="s">
        <v>37</v>
      </c>
      <c r="J24" s="1" t="n">
        <v>91.98</v>
      </c>
      <c r="K24" s="1" t="n">
        <v>2</v>
      </c>
      <c r="L24" s="1" t="n">
        <v>10</v>
      </c>
    </row>
    <row r="25" customFormat="false" ht="15" hidden="false" customHeight="false" outlineLevel="0" collapsed="false">
      <c r="B25" s="1" t="n">
        <v>4071</v>
      </c>
      <c r="C25" s="1" t="n">
        <v>4310</v>
      </c>
      <c r="D25" s="1" t="n">
        <f aca="false">C25-B25</f>
        <v>239</v>
      </c>
      <c r="E25" s="1" t="s">
        <v>37</v>
      </c>
      <c r="F25" s="1"/>
      <c r="G25" s="1" t="n">
        <v>183.57</v>
      </c>
      <c r="H25" s="1" t="n">
        <f aca="false">(G25/(D25/30))/1000</f>
        <v>0.0230422594142259</v>
      </c>
      <c r="I25" s="1" t="s">
        <v>37</v>
      </c>
      <c r="J25" s="1" t="n">
        <v>89.38</v>
      </c>
      <c r="K25" s="1" t="n">
        <v>1</v>
      </c>
      <c r="L25" s="1" t="n">
        <v>11</v>
      </c>
    </row>
    <row r="26" customFormat="false" ht="15" hidden="false" customHeight="false" outlineLevel="0" collapsed="false">
      <c r="B26" s="1" t="n">
        <v>4311</v>
      </c>
      <c r="C26" s="1" t="n">
        <v>4520</v>
      </c>
      <c r="D26" s="1" t="n">
        <f aca="false">C26-B26</f>
        <v>209</v>
      </c>
      <c r="E26" s="1" t="s">
        <v>37</v>
      </c>
      <c r="F26" s="1"/>
      <c r="G26" s="1" t="n">
        <v>190.66</v>
      </c>
      <c r="H26" s="1" t="n">
        <f aca="false">(G26/(D26/30))/1000</f>
        <v>0.0273674641148325</v>
      </c>
      <c r="I26" s="1" t="s">
        <v>37</v>
      </c>
      <c r="J26" s="1" t="n">
        <v>90.1</v>
      </c>
      <c r="K26" s="1" t="n">
        <v>2</v>
      </c>
      <c r="L26" s="1" t="n">
        <v>11</v>
      </c>
    </row>
    <row r="27" customFormat="false" ht="15" hidden="false" customHeight="false" outlineLevel="0" collapsed="false">
      <c r="B27" s="1" t="n">
        <v>4521</v>
      </c>
      <c r="C27" s="1" t="n">
        <v>4700</v>
      </c>
      <c r="D27" s="1" t="n">
        <f aca="false">C27-B27</f>
        <v>179</v>
      </c>
      <c r="E27" s="1" t="s">
        <v>37</v>
      </c>
      <c r="F27" s="1"/>
      <c r="G27" s="1" t="n">
        <v>155.75</v>
      </c>
      <c r="H27" s="1" t="n">
        <f aca="false">(G27/(D27/30))/1000</f>
        <v>0.0261033519553073</v>
      </c>
      <c r="I27" s="1" t="s">
        <v>37</v>
      </c>
      <c r="J27" s="1" t="n">
        <v>67.35</v>
      </c>
      <c r="K27" s="1" t="n">
        <v>1</v>
      </c>
      <c r="L27" s="1" t="n">
        <v>11</v>
      </c>
    </row>
    <row r="28" customFormat="false" ht="15" hidden="false" customHeight="false" outlineLevel="0" collapsed="false">
      <c r="B28" s="1" t="n">
        <v>4701</v>
      </c>
      <c r="C28" s="1" t="n">
        <v>4890</v>
      </c>
      <c r="D28" s="1" t="n">
        <f aca="false">C28-B28</f>
        <v>189</v>
      </c>
      <c r="E28" s="1" t="s">
        <v>37</v>
      </c>
      <c r="F28" s="1"/>
      <c r="G28" s="1" t="n">
        <v>143.12</v>
      </c>
      <c r="H28" s="1" t="n">
        <f aca="false">(G28/(D28/30))/1000</f>
        <v>0.0227174603174603</v>
      </c>
      <c r="I28" s="1" t="s">
        <v>37</v>
      </c>
      <c r="J28" s="1" t="n">
        <v>63.8</v>
      </c>
      <c r="K28" s="1" t="n">
        <v>2</v>
      </c>
      <c r="L28" s="1" t="n">
        <v>11</v>
      </c>
    </row>
    <row r="30" customFormat="false" ht="15" hidden="false" customHeight="false" outlineLevel="0" collapsed="false">
      <c r="B30" s="2" t="s">
        <v>39</v>
      </c>
      <c r="C30" s="2"/>
      <c r="D30" s="2"/>
      <c r="E30" s="3" t="n">
        <f aca="false">MAX(F5:F28)</f>
        <v>0.0401333333333333</v>
      </c>
      <c r="G30" s="3" t="s">
        <v>40</v>
      </c>
      <c r="H30" s="3" t="n">
        <f aca="false">MAX(I5:I28)</f>
        <v>177.73</v>
      </c>
    </row>
    <row r="31" customFormat="false" ht="15" hidden="false" customHeight="false" outlineLevel="0" collapsed="false">
      <c r="B31" s="2" t="s">
        <v>41</v>
      </c>
      <c r="C31" s="2"/>
      <c r="D31" s="2"/>
      <c r="E31" s="3" t="n">
        <f aca="false">MIN(F5:F28)</f>
        <v>0.00856899563318777</v>
      </c>
      <c r="G31" s="3" t="s">
        <v>42</v>
      </c>
      <c r="H31" s="3" t="n">
        <f aca="false">MIN(I5:I28)</f>
        <v>20.18</v>
      </c>
    </row>
    <row r="32" customFormat="false" ht="15" hidden="false" customHeight="false" outlineLevel="0" collapsed="false">
      <c r="B32" s="2" t="s">
        <v>43</v>
      </c>
      <c r="C32" s="2"/>
      <c r="D32" s="2"/>
      <c r="E32" s="3" t="n">
        <f aca="false">AVERAGE(F5:F26)</f>
        <v>0.0260263639340845</v>
      </c>
      <c r="G32" s="3" t="s">
        <v>44</v>
      </c>
      <c r="H32" s="3" t="n">
        <f aca="false">AVERAGE(I5:I28)</f>
        <v>75.2741666666667</v>
      </c>
    </row>
    <row r="33" customFormat="false" ht="15" hidden="false" customHeight="false" outlineLevel="0" collapsed="false">
      <c r="B33" s="2" t="s">
        <v>45</v>
      </c>
      <c r="C33" s="2"/>
      <c r="D33" s="2"/>
      <c r="E33" s="3" t="n">
        <f aca="false">AVERAGE(E5:E18)</f>
        <v>179.5</v>
      </c>
    </row>
    <row r="34" customFormat="false" ht="15" hidden="false" customHeight="false" outlineLevel="0" collapsed="false">
      <c r="B34" s="4"/>
      <c r="C34" s="4"/>
      <c r="D34" s="4"/>
    </row>
    <row r="35" customFormat="false" ht="15" hidden="false" customHeight="false" outlineLevel="0" collapsed="false">
      <c r="B35" s="2" t="s">
        <v>46</v>
      </c>
      <c r="C35" s="2"/>
      <c r="D35" s="2"/>
      <c r="E35" s="3" t="n">
        <f aca="false">MAX(H5:H28)</f>
        <v>0.0480015075376884</v>
      </c>
      <c r="G35" s="3" t="s">
        <v>47</v>
      </c>
      <c r="H35" s="3" t="n">
        <f aca="false">MAX(J5:J28)</f>
        <v>113.41</v>
      </c>
    </row>
    <row r="36" customFormat="false" ht="15" hidden="false" customHeight="false" outlineLevel="0" collapsed="false">
      <c r="B36" s="2" t="s">
        <v>48</v>
      </c>
      <c r="C36" s="2"/>
      <c r="D36" s="2"/>
      <c r="E36" s="3" t="n">
        <f aca="false">MIN(H5:H28)</f>
        <v>0.0174290322580645</v>
      </c>
      <c r="G36" s="3" t="s">
        <v>49</v>
      </c>
      <c r="H36" s="3" t="n">
        <f aca="false">MIN(J5:J28)</f>
        <v>63.01</v>
      </c>
    </row>
    <row r="37" customFormat="false" ht="15" hidden="false" customHeight="false" outlineLevel="0" collapsed="false">
      <c r="B37" s="2" t="s">
        <v>50</v>
      </c>
      <c r="C37" s="2"/>
      <c r="D37" s="2"/>
      <c r="E37" s="3" t="n">
        <f aca="false">AVERAGE(H5:H28)</f>
        <v>0.0296571369883973</v>
      </c>
      <c r="G37" s="3" t="s">
        <v>51</v>
      </c>
      <c r="H37" s="3" t="n">
        <f aca="false">AVERAGE(J5:J28)</f>
        <v>82.7585714285714</v>
      </c>
    </row>
    <row r="38" customFormat="false" ht="15" hidden="false" customHeight="false" outlineLevel="0" collapsed="false">
      <c r="B38" s="2" t="s">
        <v>53</v>
      </c>
      <c r="C38" s="2"/>
      <c r="D38" s="2"/>
      <c r="E38" s="3" t="n">
        <f aca="false">AVERAGE(G5:G28)</f>
        <v>197.598181818182</v>
      </c>
    </row>
  </sheetData>
  <mergeCells count="8">
    <mergeCell ref="B30:D30"/>
    <mergeCell ref="B31:D31"/>
    <mergeCell ref="B32:D32"/>
    <mergeCell ref="B33:D33"/>
    <mergeCell ref="B35:D35"/>
    <mergeCell ref="B36:D36"/>
    <mergeCell ref="B37:D37"/>
    <mergeCell ref="B38:D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0.28"/>
    <col collapsed="false" customWidth="true" hidden="false" outlineLevel="0" max="3" min="3" style="0" width="9.43"/>
    <col collapsed="false" customWidth="true" hidden="false" outlineLevel="0" max="4" min="4" style="0" width="11.71"/>
    <col collapsed="false" customWidth="true" hidden="false" outlineLevel="0" max="5" min="5" style="0" width="24.28"/>
    <col collapsed="false" customWidth="true" hidden="false" outlineLevel="0" max="6" min="6" style="0" width="21"/>
    <col collapsed="false" customWidth="true" hidden="false" outlineLevel="0" max="7" min="7" style="0" width="24.43"/>
    <col collapsed="false" customWidth="true" hidden="false" outlineLevel="0" max="8" min="8" style="0" width="20.85"/>
    <col collapsed="false" customWidth="true" hidden="false" outlineLevel="0" max="9" min="9" style="0" width="10.28"/>
    <col collapsed="false" customWidth="true" hidden="false" outlineLevel="0" max="10" min="10" style="0" width="10.71"/>
  </cols>
  <sheetData>
    <row r="2" customFormat="false" ht="15" hidden="false" customHeight="false" outlineLevel="0" collapsed="false">
      <c r="B2" s="0" t="s">
        <v>56</v>
      </c>
      <c r="F2" s="0" t="s">
        <v>57</v>
      </c>
    </row>
    <row r="4" customFormat="false" ht="15" hidden="false" customHeight="false" outlineLevel="0" collapsed="false">
      <c r="B4" s="1" t="s">
        <v>1</v>
      </c>
      <c r="C4" s="1" t="s">
        <v>2</v>
      </c>
      <c r="D4" s="1" t="s">
        <v>3</v>
      </c>
      <c r="E4" s="1" t="s">
        <v>5</v>
      </c>
      <c r="F4" s="1" t="s">
        <v>6</v>
      </c>
      <c r="G4" s="1" t="s">
        <v>8</v>
      </c>
      <c r="H4" s="1" t="s">
        <v>9</v>
      </c>
      <c r="I4" s="1" t="s">
        <v>10</v>
      </c>
      <c r="J4" s="1" t="s">
        <v>12</v>
      </c>
      <c r="K4" s="1" t="s">
        <v>14</v>
      </c>
      <c r="L4" s="1" t="s">
        <v>15</v>
      </c>
    </row>
    <row r="5" customFormat="false" ht="15" hidden="false" customHeight="false" outlineLevel="0" collapsed="false">
      <c r="B5" s="1" t="n">
        <v>32</v>
      </c>
      <c r="C5" s="1" t="n">
        <v>86</v>
      </c>
      <c r="D5" s="1" t="n">
        <f aca="false">C5-B5</f>
        <v>54</v>
      </c>
      <c r="E5" s="1" t="n">
        <v>40.94</v>
      </c>
      <c r="F5" s="1" t="n">
        <f aca="false">(E5/(D5/30))/1000</f>
        <v>0.0227444444444444</v>
      </c>
      <c r="G5" s="1" t="n">
        <v>28.72</v>
      </c>
      <c r="H5" s="1" t="n">
        <f aca="false">(G5/(D5/30))/1000</f>
        <v>0.0159555555555556</v>
      </c>
      <c r="I5" s="1" t="n">
        <v>12.62</v>
      </c>
      <c r="J5" s="1" t="n">
        <v>16.09</v>
      </c>
      <c r="K5" s="1" t="n">
        <v>1</v>
      </c>
      <c r="L5" s="1" t="n">
        <v>1</v>
      </c>
    </row>
    <row r="6" customFormat="false" ht="15" hidden="false" customHeight="false" outlineLevel="0" collapsed="false">
      <c r="B6" s="1" t="n">
        <v>87</v>
      </c>
      <c r="C6" s="1" t="n">
        <v>151</v>
      </c>
      <c r="D6" s="1" t="n">
        <f aca="false">C6-B6</f>
        <v>64</v>
      </c>
      <c r="E6" s="5" t="n">
        <v>53.8</v>
      </c>
      <c r="F6" s="1" t="n">
        <f aca="false">(E6/(D6/30))/1000</f>
        <v>0.02521875</v>
      </c>
      <c r="G6" s="1" t="n">
        <v>75.56</v>
      </c>
      <c r="H6" s="1" t="n">
        <f aca="false">(G6/(D6/30))/1000</f>
        <v>0.03541875</v>
      </c>
      <c r="I6" s="1" t="n">
        <v>18.81</v>
      </c>
      <c r="J6" s="1" t="n">
        <v>32.8</v>
      </c>
      <c r="K6" s="1" t="n">
        <v>2</v>
      </c>
      <c r="L6" s="1" t="n">
        <v>1</v>
      </c>
    </row>
    <row r="7" customFormat="false" ht="15" hidden="false" customHeight="false" outlineLevel="0" collapsed="false">
      <c r="B7" s="1" t="n">
        <v>152</v>
      </c>
      <c r="C7" s="1" t="n">
        <v>227</v>
      </c>
      <c r="D7" s="1" t="n">
        <f aca="false">C7-B7</f>
        <v>75</v>
      </c>
      <c r="E7" s="1" t="n">
        <v>49.03</v>
      </c>
      <c r="F7" s="1" t="n">
        <f aca="false">(E7/(D7/30))/1000</f>
        <v>0.019612</v>
      </c>
      <c r="G7" s="1" t="n">
        <v>154.53</v>
      </c>
      <c r="H7" s="1" t="n">
        <f aca="false">(G7/(D7/30))/1000</f>
        <v>0.061812</v>
      </c>
      <c r="I7" s="1" t="n">
        <v>25.01</v>
      </c>
      <c r="J7" s="1" t="n">
        <v>63.92</v>
      </c>
      <c r="K7" s="1" t="n">
        <v>1</v>
      </c>
      <c r="L7" s="1" t="n">
        <v>2</v>
      </c>
    </row>
    <row r="8" customFormat="false" ht="15" hidden="false" customHeight="false" outlineLevel="0" collapsed="false">
      <c r="B8" s="1" t="n">
        <v>228</v>
      </c>
      <c r="C8" s="1" t="n">
        <v>390</v>
      </c>
      <c r="D8" s="1" t="n">
        <f aca="false">C8-B8</f>
        <v>162</v>
      </c>
      <c r="E8" s="1" t="n">
        <v>77.28</v>
      </c>
      <c r="F8" s="1" t="n">
        <f aca="false">(E8/(D8/30))/1000</f>
        <v>0.0143111111111111</v>
      </c>
      <c r="G8" s="1" t="n">
        <v>157.76</v>
      </c>
      <c r="H8" s="1" t="n">
        <f aca="false">(G8/(D8/30))/1000</f>
        <v>0.0292148148148148</v>
      </c>
      <c r="I8" s="1" t="n">
        <v>28.15</v>
      </c>
      <c r="J8" s="1" t="n">
        <v>63.16</v>
      </c>
      <c r="K8" s="1" t="n">
        <v>2</v>
      </c>
      <c r="L8" s="1" t="n">
        <v>2</v>
      </c>
    </row>
    <row r="9" customFormat="false" ht="15" hidden="false" customHeight="false" outlineLevel="0" collapsed="false">
      <c r="B9" s="1" t="n">
        <v>391</v>
      </c>
      <c r="C9" s="1" t="n">
        <v>466</v>
      </c>
      <c r="D9" s="1" t="n">
        <f aca="false">C9-B9</f>
        <v>75</v>
      </c>
      <c r="E9" s="1" t="n">
        <v>50.28</v>
      </c>
      <c r="F9" s="1" t="n">
        <f aca="false">(E9/(D9/30))/1000</f>
        <v>0.020112</v>
      </c>
      <c r="G9" s="1" t="n">
        <v>170.1</v>
      </c>
      <c r="H9" s="1" t="n">
        <f aca="false">(G9/(D9/30))/1000</f>
        <v>0.06804</v>
      </c>
      <c r="I9" s="1" t="n">
        <v>25.11</v>
      </c>
      <c r="J9" s="1" t="n">
        <v>65.11</v>
      </c>
      <c r="K9" s="1" t="n">
        <v>1</v>
      </c>
      <c r="L9" s="1" t="n">
        <v>3</v>
      </c>
    </row>
    <row r="10" customFormat="false" ht="15" hidden="false" customHeight="false" outlineLevel="0" collapsed="false">
      <c r="B10" s="1" t="n">
        <v>467</v>
      </c>
      <c r="C10" s="1" t="n">
        <v>628</v>
      </c>
      <c r="D10" s="1" t="n">
        <f aca="false">C10-B10</f>
        <v>161</v>
      </c>
      <c r="E10" s="1" t="n">
        <v>64.83</v>
      </c>
      <c r="F10" s="1" t="n">
        <f aca="false">(E10/(D10/30))/1000</f>
        <v>0.0120801242236025</v>
      </c>
      <c r="G10" s="1" t="n">
        <v>182.08</v>
      </c>
      <c r="H10" s="1" t="n">
        <f aca="false">(G10/(D10/30))/1000</f>
        <v>0.033927950310559</v>
      </c>
      <c r="I10" s="1" t="n">
        <v>25.86</v>
      </c>
      <c r="J10" s="1" t="n">
        <v>63.92</v>
      </c>
      <c r="K10" s="1" t="n">
        <v>2</v>
      </c>
      <c r="L10" s="1" t="n">
        <v>3</v>
      </c>
    </row>
    <row r="11" customFormat="false" ht="15" hidden="false" customHeight="false" outlineLevel="0" collapsed="false">
      <c r="B11" s="1" t="n">
        <v>629</v>
      </c>
      <c r="C11" s="1" t="n">
        <v>715</v>
      </c>
      <c r="D11" s="1" t="n">
        <f aca="false">C11-B11</f>
        <v>86</v>
      </c>
      <c r="E11" s="1" t="n">
        <v>45.12</v>
      </c>
      <c r="F11" s="1" t="n">
        <f aca="false">(E11/(D11/30))/1000</f>
        <v>0.0157395348837209</v>
      </c>
      <c r="G11" s="1" t="n">
        <v>182.24</v>
      </c>
      <c r="H11" s="1" t="n">
        <f aca="false">(G11/(D11/30))/1000</f>
        <v>0.0635720930232558</v>
      </c>
      <c r="I11" s="1" t="n">
        <v>27.72</v>
      </c>
      <c r="J11" s="1" t="n">
        <v>65.1</v>
      </c>
      <c r="K11" s="1" t="n">
        <v>1</v>
      </c>
      <c r="L11" s="1" t="n">
        <v>4</v>
      </c>
    </row>
    <row r="12" customFormat="false" ht="15" hidden="false" customHeight="false" outlineLevel="0" collapsed="false">
      <c r="B12" s="1" t="n">
        <v>716</v>
      </c>
      <c r="C12" s="1" t="n">
        <v>878</v>
      </c>
      <c r="D12" s="1" t="n">
        <f aca="false">C12-B12</f>
        <v>162</v>
      </c>
      <c r="E12" s="1" t="n">
        <v>68.41</v>
      </c>
      <c r="F12" s="1" t="n">
        <f aca="false">(E12/(D12/30))/1000</f>
        <v>0.0126685185185185</v>
      </c>
      <c r="G12" s="1" t="n">
        <v>184.76</v>
      </c>
      <c r="H12" s="1" t="n">
        <f aca="false">(G12/(D12/30))/1000</f>
        <v>0.0342148148148148</v>
      </c>
      <c r="I12" s="1" t="n">
        <v>27.51</v>
      </c>
      <c r="J12" s="1" t="n">
        <v>65.74</v>
      </c>
      <c r="K12" s="1" t="n">
        <v>2</v>
      </c>
      <c r="L12" s="1" t="n">
        <v>4</v>
      </c>
    </row>
    <row r="13" customFormat="false" ht="15" hidden="false" customHeight="false" outlineLevel="0" collapsed="false">
      <c r="B13" s="1" t="n">
        <v>879</v>
      </c>
      <c r="C13" s="1" t="n">
        <v>953</v>
      </c>
      <c r="D13" s="1" t="n">
        <f aca="false">C13-B13</f>
        <v>74</v>
      </c>
      <c r="E13" s="1" t="n">
        <v>44.34</v>
      </c>
      <c r="F13" s="1" t="n">
        <f aca="false">(E13/(D13/30))/1000</f>
        <v>0.0179756756756757</v>
      </c>
      <c r="G13" s="1" t="n">
        <v>163.5</v>
      </c>
      <c r="H13" s="1" t="n">
        <f aca="false">(G13/(D13/30))/1000</f>
        <v>0.0662837837837838</v>
      </c>
      <c r="I13" s="1" t="n">
        <v>25.75</v>
      </c>
      <c r="J13" s="1" t="n">
        <v>61.79</v>
      </c>
      <c r="K13" s="1" t="n">
        <v>1</v>
      </c>
      <c r="L13" s="1" t="n">
        <v>5</v>
      </c>
    </row>
    <row r="15" customFormat="false" ht="15" hidden="false" customHeight="false" outlineLevel="0" collapsed="false">
      <c r="B15" s="2" t="s">
        <v>39</v>
      </c>
      <c r="C15" s="2"/>
      <c r="D15" s="2"/>
      <c r="E15" s="3" t="n">
        <f aca="false">MAX(F5:F13)</f>
        <v>0.02521875</v>
      </c>
      <c r="G15" s="3" t="s">
        <v>40</v>
      </c>
      <c r="H15" s="3" t="n">
        <f aca="false">MAX(I5:I13)</f>
        <v>28.15</v>
      </c>
    </row>
    <row r="16" customFormat="false" ht="15" hidden="false" customHeight="false" outlineLevel="0" collapsed="false">
      <c r="B16" s="2" t="s">
        <v>41</v>
      </c>
      <c r="C16" s="2"/>
      <c r="D16" s="2"/>
      <c r="E16" s="3" t="n">
        <f aca="false">MIN(F5:F13)</f>
        <v>0.0120801242236025</v>
      </c>
      <c r="G16" s="3" t="s">
        <v>42</v>
      </c>
      <c r="H16" s="3" t="n">
        <f aca="false">MIN(I5:I13)</f>
        <v>12.62</v>
      </c>
    </row>
    <row r="17" customFormat="false" ht="15" hidden="false" customHeight="false" outlineLevel="0" collapsed="false">
      <c r="B17" s="2" t="s">
        <v>43</v>
      </c>
      <c r="C17" s="2"/>
      <c r="D17" s="2"/>
      <c r="E17" s="3" t="n">
        <f aca="false">AVERAGE(F5:F13)</f>
        <v>0.017829128761897</v>
      </c>
      <c r="G17" s="3" t="s">
        <v>44</v>
      </c>
      <c r="H17" s="3" t="n">
        <f aca="false">AVERAGE(I5:I13)</f>
        <v>24.06</v>
      </c>
    </row>
    <row r="18" customFormat="false" ht="15" hidden="false" customHeight="false" outlineLevel="0" collapsed="false">
      <c r="B18" s="2" t="s">
        <v>45</v>
      </c>
      <c r="C18" s="2"/>
      <c r="D18" s="2"/>
      <c r="E18" s="3" t="n">
        <f aca="false">AVERAGE(E5:E13)</f>
        <v>54.8922222222222</v>
      </c>
    </row>
    <row r="19" customFormat="false" ht="15" hidden="false" customHeight="false" outlineLevel="0" collapsed="false">
      <c r="B19" s="4"/>
      <c r="C19" s="4"/>
      <c r="D19" s="4"/>
    </row>
    <row r="20" customFormat="false" ht="15" hidden="false" customHeight="false" outlineLevel="0" collapsed="false">
      <c r="B20" s="2" t="s">
        <v>46</v>
      </c>
      <c r="C20" s="2"/>
      <c r="D20" s="2"/>
      <c r="E20" s="3" t="n">
        <f aca="false">MAX(H5:H13)</f>
        <v>0.06804</v>
      </c>
      <c r="G20" s="3" t="s">
        <v>47</v>
      </c>
      <c r="H20" s="3" t="n">
        <f aca="false">MAX(J5:J13)</f>
        <v>65.74</v>
      </c>
    </row>
    <row r="21" customFormat="false" ht="15" hidden="false" customHeight="false" outlineLevel="0" collapsed="false">
      <c r="B21" s="2" t="s">
        <v>48</v>
      </c>
      <c r="C21" s="2"/>
      <c r="D21" s="2"/>
      <c r="E21" s="3" t="n">
        <f aca="false">MIN(H5:H13)</f>
        <v>0.0159555555555556</v>
      </c>
      <c r="G21" s="3" t="s">
        <v>49</v>
      </c>
      <c r="H21" s="3" t="n">
        <f aca="false">MIN(J5:J13)</f>
        <v>16.09</v>
      </c>
    </row>
    <row r="22" customFormat="false" ht="15" hidden="false" customHeight="false" outlineLevel="0" collapsed="false">
      <c r="B22" s="2" t="s">
        <v>50</v>
      </c>
      <c r="C22" s="2"/>
      <c r="D22" s="2"/>
      <c r="E22" s="3" t="n">
        <f aca="false">AVERAGE(H5:H13)</f>
        <v>0.0453821958114204</v>
      </c>
      <c r="G22" s="3" t="s">
        <v>51</v>
      </c>
      <c r="H22" s="3" t="n">
        <f aca="false">AVERAGE(J5:J13)</f>
        <v>55.2922222222222</v>
      </c>
    </row>
    <row r="23" customFormat="false" ht="15" hidden="false" customHeight="false" outlineLevel="0" collapsed="false">
      <c r="B23" s="2" t="s">
        <v>53</v>
      </c>
      <c r="C23" s="2"/>
      <c r="D23" s="2"/>
      <c r="E23" s="3" t="n">
        <f aca="false">AVERAGE(G5:G13)</f>
        <v>144.361111111111</v>
      </c>
    </row>
  </sheetData>
  <mergeCells count="8">
    <mergeCell ref="B15:D15"/>
    <mergeCell ref="B16:D16"/>
    <mergeCell ref="B17:D17"/>
    <mergeCell ref="B18:D18"/>
    <mergeCell ref="B20:D20"/>
    <mergeCell ref="B21:D21"/>
    <mergeCell ref="B22:D22"/>
    <mergeCell ref="B23:D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aa4cd4-7f7e-4c7c-ae78-c7be4ae5d884"/>
    <lcf76f155ced4ddcb4097134ff3c332f xmlns="08cbe5e2-5342-4212-9c5c-d71cc3d7784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7940CF44F15840BCC07217EFEBBA28" ma:contentTypeVersion="18" ma:contentTypeDescription="Create a new document." ma:contentTypeScope="" ma:versionID="aaf56b218b1833697f39d6d18eb36a24">
  <xsd:schema xmlns:xsd="http://www.w3.org/2001/XMLSchema" xmlns:xs="http://www.w3.org/2001/XMLSchema" xmlns:p="http://schemas.microsoft.com/office/2006/metadata/properties" xmlns:ns2="08cbe5e2-5342-4212-9c5c-d71cc3d77844" xmlns:ns3="c5aa4cd4-7f7e-4c7c-ae78-c7be4ae5d884" targetNamespace="http://schemas.microsoft.com/office/2006/metadata/properties" ma:root="true" ma:fieldsID="9576c9134ebd728b6c64f37995a407e7" ns2:_="" ns3:_="">
    <xsd:import namespace="08cbe5e2-5342-4212-9c5c-d71cc3d77844"/>
    <xsd:import namespace="c5aa4cd4-7f7e-4c7c-ae78-c7be4ae5d8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be5e2-5342-4212-9c5c-d71cc3d778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cab473c-064c-4c61-8ef3-0c94a3d355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aa4cd4-7f7e-4c7c-ae78-c7be4ae5d88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cf028f9-84bf-4328-8fab-3c81827532ef}" ma:internalName="TaxCatchAll" ma:showField="CatchAllData" ma:web="c5aa4cd4-7f7e-4c7c-ae78-c7be4ae5d8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ccab473c-064c-4c61-8ef3-0c94a3d35594" ContentTypeId="0x0101" PreviousValue="false"/>
</file>

<file path=customXml/itemProps1.xml><?xml version="1.0" encoding="utf-8"?>
<ds:datastoreItem xmlns:ds="http://schemas.openxmlformats.org/officeDocument/2006/customXml" ds:itemID="{5EF855DE-E619-49D9-9D4F-C14BDDBB1E51}">
  <ds:schemaRefs>
    <ds:schemaRef ds:uri="http://schemas.microsoft.com/office/2006/documentManagement/types"/>
    <ds:schemaRef ds:uri="http://purl.org/dc/elements/1.1/"/>
    <ds:schemaRef ds:uri="c5aa4cd4-7f7e-4c7c-ae78-c7be4ae5d884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8cbe5e2-5342-4212-9c5c-d71cc3d7784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E818F5C-B866-4444-B9CF-6555D9E1EF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9A59D8-066D-4D99-9110-0C5FA7028F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cbe5e2-5342-4212-9c5c-d71cc3d77844"/>
    <ds:schemaRef ds:uri="c5aa4cd4-7f7e-4c7c-ae78-c7be4ae5d8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46E1419-1916-4C8E-A97F-E4216230EEBC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2026-01-30T17:06:25Z</dcterms:created>
  <dc:creator>Lauren Ervin</dc:creator>
  <dc:description/>
  <dc:language>en-US</dc:language>
  <cp:lastModifiedBy/>
  <dcterms:modified xsi:type="dcterms:W3CDTF">2026-02-23T13:46:16Z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0x010100317940CF44F15840BCC07217EFEBBA28</vt:lpwstr>
  </property>
</Properties>
</file>